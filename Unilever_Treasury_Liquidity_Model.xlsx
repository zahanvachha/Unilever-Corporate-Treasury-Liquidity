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9.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AW_DATA" sheetId="2" state="visible" r:id="rId4"/>
    <sheet name="HISTORICAL_IS" sheetId="3" state="visible" r:id="rId5"/>
    <sheet name="HISTORICAL_BS" sheetId="4" state="visible" r:id="rId6"/>
    <sheet name="HISTORICAL_CF" sheetId="5" state="visible" r:id="rId7"/>
    <sheet name="WORKING_CAPITAL" sheetId="6" state="visible" r:id="rId8"/>
    <sheet name="HISTORICAL_CHECKS" sheetId="7" state="visible" r:id="rId9"/>
    <sheet name="HISTORICAL_OUTPUTS" sheetId="8" state="visible" r:id="rId10"/>
    <sheet name="STEP3_README" sheetId="9" state="visible" r:id="rId11"/>
    <sheet name="ASSUMPTIONS" sheetId="10" state="visible" r:id="rId12"/>
    <sheet name="LIQUIDITY_DRIVERS" sheetId="11" state="visible" r:id="rId13"/>
    <sheet name="13W_FORECAST" sheetId="12" state="visible" r:id="rId14"/>
    <sheet name="SCENARIOS" sheetId="13" state="visible" r:id="rId15"/>
    <sheet name="LIQUIDITY_BUFFER" sheetId="14" state="visible" r:id="rId16"/>
    <sheet name="FUNDING" sheetId="15" state="visible" r:id="rId17"/>
    <sheet name="SURPLUS_CASH" sheetId="16" state="visible" r:id="rId18"/>
    <sheet name="FX_LIQUIDITY" sheetId="17" state="visible" r:id="rId19"/>
    <sheet name="OPTIMISATION" sheetId="18" state="visible" r:id="rId20"/>
    <sheet name="TREASURY_OUTPUT" sheetId="19" state="visible" r:id="rId21"/>
    <sheet name="STEP3_CHECKS" sheetId="20" state="visible" r:id="rId2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<sst xmlns="http://schemas.openxmlformats.org/spreadsheetml/2006/main" count="1880" uniqueCount="1140">
  <si>
    <t xml:space="preserve">01 README</t>
  </si>
  <si>
    <t xml:space="preserve">Project</t>
  </si>
  <si>
    <t xml:space="preserve">Corporate Treasury &amp; Liquidity Optimisation Engine</t>
  </si>
  <si>
    <t xml:space="preserve">Company</t>
  </si>
  <si>
    <t xml:space="preserve">Unilever plc</t>
  </si>
  <si>
    <t xml:space="preserve">Step</t>
  </si>
  <si>
    <t xml:space="preserve">Step 2 — Historical Financial Engine</t>
  </si>
  <si>
    <t xml:space="preserve">Purpose</t>
  </si>
  <si>
    <t xml:space="preserve">This workbook transforms the validated public-data source dataset into a formula-driven historical financial model covering 2021–2025 where data is available and comparable. The model establishes the historical profitability, liquidity, cash-flow, financing and working-capital base required for subsequent treasury forecasting and optimisation.</t>
  </si>
  <si>
    <t xml:space="preserve">Units</t>
  </si>
  <si>
    <t xml:space="preserve">€ million unless otherwise stated.</t>
  </si>
  <si>
    <t xml:space="preserve">Source hierarchy</t>
  </si>
  <si>
    <t xml:space="preserve">1. Unilever Annual Reports
2. Unilever Consolidated Financial Statements
3. Derived calculations
4. Explicit modelling assumptions</t>
  </si>
  <si>
    <t xml:space="preserve">Data classification</t>
  </si>
  <si>
    <t xml:space="preserve">Reported · Derived · Assumption · Unavailable</t>
  </si>
  <si>
    <t xml:space="preserve">Critical modelling rule</t>
  </si>
  <si>
    <t xml:space="preserve">No confidential Unilever treasury information is assumed. Weekly cash-flow timing, internal cash-pool pricing, internal minimum cash buffers and other non-public treasury information will be constructed only in later modelling stages and explicitly labelled as assumptions.</t>
  </si>
  <si>
    <t xml:space="preserve">Source file (frozen)</t>
  </si>
  <si>
    <t xml:space="preserve">Unilever_Treasury_FINAL_CLEAN_RAW_DATASET_v4.xlsx — never overwritten. RAW_DATA is a controlled copy of it; each row cites the dataset sheet and row.</t>
  </si>
  <si>
    <t xml:space="preserve">Model status</t>
  </si>
  <si>
    <t xml:space="preserve">Source reconciliation</t>
  </si>
  <si>
    <t xml:space="preserve">Completed on the v4 dataset: every input used by a core check was traced to an official Unilever document (results announcements FY2022, FY2023, FY2025; Historical Financials excl. Ice Cream; Form 20-F 2025 XBRL). Remaining blanks are line-item detail not needed by any core check; each is documented in the dataset's Source Pass Log.</t>
  </si>
  <si>
    <t xml:space="preserve">Period columns</t>
  </si>
  <si>
    <t xml:space="preserve">2021 · 2022 · 2023 Original · 2023 Continuing · 2024 · 2025. 2023 appears twice because the 2025 Annual Report re-presented 2023–2024 for the Ice Cream demerger. Growth rates compare like with like: 2023 Original vs 2022, 2024 vs 2023 Continuing. Balance sheets are not re-presented, so balance-sheet rows have no 2023 Continuing value (grey).</t>
  </si>
  <si>
    <t xml:space="preserve">Basis-break warning</t>
  </si>
  <si>
    <t xml:space="preserve">2021–2023 Original include Ice Cream; 2023 Continuing–2025 exclude it. 2021→2025 comparisons and CAGRs are reported-basis, not like-for-like, and are labelled accordingly.</t>
  </si>
  <si>
    <t xml:space="preserve">Colour legend</t>
  </si>
  <si>
    <t xml:space="preserve">Blue = hard-coded source value (RAW_DATA only) · Green = link to another sheet · Black = calculation · Yellow fill = Unavailable in source (enter value in RAW_DATA) · Grey fill = not applicable.</t>
  </si>
  <si>
    <t xml:space="preserve">How to add missing data</t>
  </si>
  <si>
    <t xml:space="preserve">Type the reported figure into the yellow cell on RAW_DATA (and into the frozen dataset's next version). Everything downstream, including the checks, updates automatically.</t>
  </si>
  <si>
    <t xml:space="preserve">Sheets</t>
  </si>
  <si>
    <t xml:space="preserve">01 README · 02 RAW_DATA (input layer) · 03 HISTORICAL_IS · 04 HISTORICAL_BS · 05 HISTORICAL_CF · 06 WORKING_CAPITAL · 07 HISTORICAL_CHECKS · 08 HISTORICAL_OUTPUTS (the only sheet designed for reading).</t>
  </si>
  <si>
    <t xml:space="preserve">Out of scope for Step 2</t>
  </si>
  <si>
    <t xml:space="preserve">13-week forecast, weekly timing, minimum cash buffer, funding/debt/FX optimisation, investment allocation, Monte Carlo, scenarios, stress tests, live market rates, treasury policy assumptions, final dashboard and report.</t>
  </si>
  <si>
    <t xml:space="preserve">02 RAW_DATA — CONTROLLED COPY OF SOURCE DATA (INPUT LAYER)</t>
  </si>
  <si>
    <t xml:space="preserve">Values copied unchanged from the frozen source file Unilever_Treasury_FINAL_CLEAN_RAW_DATASET_v4.xlsx. No calculations on this sheet. Blank yellow = Unavailable in source; grey = not applicable (balance sheets are not re-presented, so no 2023 Continuing).</t>
  </si>
  <si>
    <t xml:space="preserve">Variable</t>
  </si>
  <si>
    <t xml:space="preserve">2021</t>
  </si>
  <si>
    <t xml:space="preserve">2022</t>
  </si>
  <si>
    <t xml:space="preserve">2023 Original</t>
  </si>
  <si>
    <t xml:space="preserve">2023 Continuing</t>
  </si>
  <si>
    <t xml:space="preserve">2024</t>
  </si>
  <si>
    <t xml:space="preserve">2025</t>
  </si>
  <si>
    <t xml:space="preserve">Status</t>
  </si>
  <si>
    <t xml:space="preserve">Source</t>
  </si>
  <si>
    <t xml:space="preserve">Note</t>
  </si>
  <si>
    <t xml:space="preserve">INCOME STATEMENT</t>
  </si>
  <si>
    <t xml:space="preserve">Turnover</t>
  </si>
  <si>
    <t xml:space="preserve">Reported</t>
  </si>
  <si>
    <t xml:space="preserve">AR2022; AR2023; AR2025 | dataset: Raw Financials r6</t>
  </si>
  <si>
    <t xml:space="preserve">2023 Original vs Continuing kept separate.</t>
  </si>
  <si>
    <t xml:space="preserve">Cost of sales</t>
  </si>
  <si>
    <t xml:space="preserve">AR2022; AR2023; AR2025 | dataset: Raw Financials r7</t>
  </si>
  <si>
    <t xml:space="preserve">Positive = cost.</t>
  </si>
  <si>
    <t xml:space="preserve">Operating profit</t>
  </si>
  <si>
    <t xml:space="preserve">AR2022; AR2023; AR2025 | dataset: Raw Financials r8</t>
  </si>
  <si>
    <t xml:space="preserve">Net finance costs</t>
  </si>
  <si>
    <t xml:space="preserve">FY22 results (9 Feb 2023) p.15; FY23 results (8 Feb 2024) p.18; Historical Financials excl. Ice Cream (15 Jan 2026); FY25 results (12 Feb 2026) p.20 | dataset: Raw Financials r9</t>
  </si>
  <si>
    <t xml:space="preserve">Positive = net cost. v4 CORRECTION: 2023 Original 409 → 486 (FY23 results p.18); 2023 Continuing 409 → 408 (excl.-Ice-Cream document). Both corrections make the PBT bridge reconcile exactly.</t>
  </si>
  <si>
    <t xml:space="preserve">Net monetary gain/(loss) arising from hyperinflationary economies</t>
  </si>
  <si>
    <t xml:space="preserve">FY22 results (9 Feb 2023) p.15; FY23 results (8 Feb 2024) p.18; Historical Financials excl. Ice Cream (15 Jan 2026); FY25 results (12 Feb 2026) p.20 | dataset: Raw Financials r10</t>
  </si>
  <si>
    <t xml:space="preserve">v4 NEW ROW. Negative = loss. Sits between operating profit and PBT; was missing from v1–v3.</t>
  </si>
  <si>
    <t xml:space="preserve">Share of net profit/(loss) of joint ventures and associates</t>
  </si>
  <si>
    <t xml:space="preserve">FY22 results (9 Feb 2023) p.15; FY23 results (8 Feb 2024) p.18; Historical Financials excl. Ice Cream (15 Jan 2026); FY25 results (12 Feb 2026) p.20 | dataset: Raw Financials r11</t>
  </si>
  <si>
    <t xml:space="preserve">Positive = income.</t>
  </si>
  <si>
    <t xml:space="preserve">Other income/(loss) from non-current investments and associates</t>
  </si>
  <si>
    <t xml:space="preserve">FY22 results (9 Feb 2023) p.15; FY23 results (8 Feb 2024) p.18; Historical Financials excl. Ice Cream (15 Jan 2026); FY25 results (12 Feb 2026) p.20 | dataset: Raw Financials r12</t>
  </si>
  <si>
    <t xml:space="preserve">Profit before taxation</t>
  </si>
  <si>
    <t xml:space="preserve">FY22 results (9 Feb 2023) p.15; FY23 results (8 Feb 2024) p.18; Historical Financials excl. Ice Cream (15 Jan 2026); FY25 results (12 Feb 2026) p.20 | dataset: Raw Financials r13</t>
  </si>
  <si>
    <t xml:space="preserve">2021–2023 Original added in v4.</t>
  </si>
  <si>
    <t xml:space="preserve">Taxation</t>
  </si>
  <si>
    <t xml:space="preserve">AR2022; AR2023; AR2025 (2023C via v2) | dataset: Raw Financials r14</t>
  </si>
  <si>
    <t xml:space="preserve">Positive = tax charge.</t>
  </si>
  <si>
    <t xml:space="preserve">Net profit</t>
  </si>
  <si>
    <t xml:space="preserve">AR2022; AR2023; AR2025 | dataset: Raw Financials r15</t>
  </si>
  <si>
    <t xml:space="preserve">2021–2023 Original: total group net profit. 2023 Continuing–2025: net profit from continuing operations.</t>
  </si>
  <si>
    <t xml:space="preserve">BALANCE SHEET — OPERATING ITEMS (year-end)</t>
  </si>
  <si>
    <t xml:space="preserve">Inventories</t>
  </si>
  <si>
    <t xml:space="preserve">AR2022; AR2023/24; AR2025 | dataset: Raw Working Capital r6</t>
  </si>
  <si>
    <t xml:space="preserve">Trade receivables</t>
  </si>
  <si>
    <t xml:space="preserve">AR2022; AR2023/24; AR2025 (Note 13) | dataset: Raw Working Capital r7</t>
  </si>
  <si>
    <t xml:space="preserve">Total current trade and other receivables</t>
  </si>
  <si>
    <t xml:space="preserve">AR2022; AR2023/24; AR2025 (Note 13) | dataset: Raw Working Capital r8</t>
  </si>
  <si>
    <t xml:space="preserve">Other current receivables = total − trade receivables (derive in model, not here).</t>
  </si>
  <si>
    <t xml:space="preserve">Trade payables</t>
  </si>
  <si>
    <t xml:space="preserve">AR2022; AR2023/24; AR2025 (Note 14) | dataset: Raw Working Capital r10</t>
  </si>
  <si>
    <t xml:space="preserve">Accruals</t>
  </si>
  <si>
    <t xml:space="preserve">AR2022; AR2023/24; AR2025 (Note 14) | dataset: Raw Working Capital r11</t>
  </si>
  <si>
    <t xml:space="preserve">Total trade payables and other current liabilities</t>
  </si>
  <si>
    <t xml:space="preserve">AR2022; AR2023/24; AR2025 (Note 14) | dataset: Raw Working Capital r12</t>
  </si>
  <si>
    <t xml:space="preserve">Other current operating liabilities = total − trade payables − accruals (derive in model).</t>
  </si>
  <si>
    <t xml:space="preserve">BALANCE SHEET — CASH, FINANCIAL ASSETS AND NET DEBT (year-end)</t>
  </si>
  <si>
    <t xml:space="preserve">Cash and cash equivalents — balance sheet</t>
  </si>
  <si>
    <t xml:space="preserve">AR2022; AR2023; AR2025 | dataset: Raw Liquidity &amp; Debt r6</t>
  </si>
  <si>
    <t xml:space="preserve">Bank overdrafts (deducted in CF-statement cash)</t>
  </si>
  <si>
    <t xml:space="preserve">FY22 results p.12; FY23 results p.15; FY25 results p.16 (net-debt table) | dataset: Raw Liquidity &amp; Debt r7</t>
  </si>
  <si>
    <t xml:space="preserve">Added in v4.</t>
  </si>
  <si>
    <t xml:space="preserve">Cash held for sale — reconciling adjustment as printed (brackets = deduction)</t>
  </si>
  <si>
    <t xml:space="preserve">FY22 results p.12; FY23 results p.15; FY25 results p.16 (net-debt table) | dataset: Raw Liquidity &amp; Debt r8</t>
  </si>
  <si>
    <t xml:space="preserve">Stored with the sign as printed: 2021 (78), 2022 –, 2023 (2), 2024 6, 2025 6. In every year CF cash + overdrafts + this adjustment = balance-sheet cash. The 2024/25 row is labelled 'Less:' but printed without brackets; the printed sign is kept.</t>
  </si>
  <si>
    <t xml:space="preserve">Other current financial assets</t>
  </si>
  <si>
    <t xml:space="preserve">AR2022; AR2023; AR2025 | dataset: Raw Liquidity &amp; Debt r9</t>
  </si>
  <si>
    <t xml:space="preserve">Non-current financial asset derivatives related to financial liabilities</t>
  </si>
  <si>
    <t xml:space="preserve">FY22 results p.12; FY23 results p.15; FY25 results p.16 (net-debt table) | dataset: Raw Liquidity &amp; Debt r10</t>
  </si>
  <si>
    <t xml:space="preserve">Added in v4. Equals the gap previously shown in the model's memo row in every year.</t>
  </si>
  <si>
    <t xml:space="preserve">Financial liabilities — current</t>
  </si>
  <si>
    <t xml:space="preserve">AR2022; AR2023; AR2025 | dataset: Raw Liquidity &amp; Debt r12</t>
  </si>
  <si>
    <t xml:space="preserve">Financial liabilities — non-current</t>
  </si>
  <si>
    <t xml:space="preserve">AR2022; AR2023; AR2025 | dataset: Raw Liquidity &amp; Debt r13</t>
  </si>
  <si>
    <t xml:space="preserve">Financial liabilities — total</t>
  </si>
  <si>
    <t xml:space="preserve">AR2022; AR2023; AR2025 | dataset: Raw Liquidity &amp; Debt r14</t>
  </si>
  <si>
    <t xml:space="preserve">Net debt (reported)</t>
  </si>
  <si>
    <t xml:space="preserve">AR2022; AR2023; AR2025 net-debt reconciliation | dataset: Raw Liquidity &amp; Debt r15</t>
  </si>
  <si>
    <t xml:space="preserve">FINANCIAL LIABILITIES BY CATEGORY (year-end)</t>
  </si>
  <si>
    <t xml:space="preserve">Bonds and other loans — total</t>
  </si>
  <si>
    <t xml:space="preserve">Reported (partial)</t>
  </si>
  <si>
    <t xml:space="preserve">AR2022; AR2025 (Note 15C) | dataset: Raw Liquidity &amp; Debt r17</t>
  </si>
  <si>
    <t xml:space="preserve">Disclosed in annual-report Note 15C (financial liabilities analysis), which could not be read in this environment; not in the results announcements. Not needed for any core check.</t>
  </si>
  <si>
    <t xml:space="preserve">Bank loans and overdrafts — total</t>
  </si>
  <si>
    <t xml:space="preserve">AR2022; AR2025 (Note 15C) | dataset: Raw Liquidity &amp; Debt r18</t>
  </si>
  <si>
    <t xml:space="preserve">Bank loans and overdrafts — current</t>
  </si>
  <si>
    <t xml:space="preserve">Unavailable</t>
  </si>
  <si>
    <t xml:space="preserve">AR Note 15C — not extracted | dataset: Raw Liquidity &amp; Debt r20</t>
  </si>
  <si>
    <t xml:space="preserve">Bonds and other loans — current</t>
  </si>
  <si>
    <t xml:space="preserve">AR Note 15C — not extracted | dataset: Raw Liquidity &amp; Debt r21</t>
  </si>
  <si>
    <t xml:space="preserve">Lease liabilities — current</t>
  </si>
  <si>
    <t xml:space="preserve">AR Note 15C — not extracted | dataset: Raw Liquidity &amp; Debt r22</t>
  </si>
  <si>
    <t xml:space="preserve">Derivatives — current</t>
  </si>
  <si>
    <t xml:space="preserve">AR Note 15C — not extracted | dataset: Raw Liquidity &amp; Debt r23</t>
  </si>
  <si>
    <t xml:space="preserve">Other financial liabilities — current</t>
  </si>
  <si>
    <t xml:space="preserve">AR Note 15C — not extracted | dataset: Raw Liquidity &amp; Debt r24</t>
  </si>
  <si>
    <t xml:space="preserve">Bank loans and overdrafts — non-current</t>
  </si>
  <si>
    <t xml:space="preserve">AR Note 15C — not extracted | dataset: Raw Liquidity &amp; Debt r26</t>
  </si>
  <si>
    <t xml:space="preserve">Bonds and other loans — non-current</t>
  </si>
  <si>
    <t xml:space="preserve">AR Note 15C — not extracted | dataset: Raw Liquidity &amp; Debt r27</t>
  </si>
  <si>
    <t xml:space="preserve">Lease liabilities — non-current</t>
  </si>
  <si>
    <t xml:space="preserve">AR Note 15C — not extracted | dataset: Raw Liquidity &amp; Debt r28</t>
  </si>
  <si>
    <t xml:space="preserve">Derivatives — non-current</t>
  </si>
  <si>
    <t xml:space="preserve">AR Note 15C — not extracted | dataset: Raw Liquidity &amp; Debt r29</t>
  </si>
  <si>
    <t xml:space="preserve">Other financial liabilities — non-current</t>
  </si>
  <si>
    <t xml:space="preserve">AR Note 15C — not extracted | dataset: Raw Liquidity &amp; Debt r30</t>
  </si>
  <si>
    <t xml:space="preserve">CASH FLOW — OPERATING</t>
  </si>
  <si>
    <t xml:space="preserve">Net profit from continuing operations (CF statement start)</t>
  </si>
  <si>
    <t xml:space="preserve">Historical Financials excl. Ice Cream (15 Jan 2026) (2023C); FY25 results (12 Feb 2026) p.24 (2024–25) | dataset: Raw Cash Flow r14</t>
  </si>
  <si>
    <t xml:space="preserve">2021–2023 Original: disclosed in AR2022/AR2023 cash-flow notes but not extracted (full-report PDFs not readable in this environment); not needed for any core check. 2023 Continuing: the excl.-Ice-Cream document starts this reconciliation at operating profit (8,998), so this line is not printed for 2023C.</t>
  </si>
  <si>
    <t xml:space="preserve">Taxation (add-back)</t>
  </si>
  <si>
    <t xml:space="preserve">Historical Financials excl. Ice Cream (15 Jan 2026) (2023C); FY25 results (12 Feb 2026) p.24 (2024–25) | dataset: Raw Cash Flow r15</t>
  </si>
  <si>
    <t xml:space="preserve">Share of net profit of JVs/associates and other income from non-current investments</t>
  </si>
  <si>
    <t xml:space="preserve">Historical Financials excl. Ice Cream (15 Jan 2026) (2023C); FY25 results (12 Feb 2026) p.24 (2024–25) | dataset: Raw Cash Flow r16</t>
  </si>
  <si>
    <t xml:space="preserve">Net monetary (gain)/loss arising from hyperinflationary economies</t>
  </si>
  <si>
    <t xml:space="preserve">Historical Financials excl. Ice Cream (15 Jan 2026) (2023C); FY25 results (12 Feb 2026) p.24 (2024–25) | dataset: Raw Cash Flow r17</t>
  </si>
  <si>
    <t xml:space="preserve">Net finance costs (add-back)</t>
  </si>
  <si>
    <t xml:space="preserve">Historical Financials excl. Ice Cream (15 Jan 2026) (2023C); FY25 results (12 Feb 2026) p.24 (2024–25) | dataset: Raw Cash Flow r18</t>
  </si>
  <si>
    <t xml:space="preserve">Depreciation, amortisation and impairment</t>
  </si>
  <si>
    <t xml:space="preserve">Historical Financials excl. Ice Cream (15 Jan 2026) (2023C); FY25 results (12 Feb 2026) p.24 (2024–25) | dataset: Raw Cash Flow r19</t>
  </si>
  <si>
    <t xml:space="preserve">2021–2023 Original: disclosed in AR2022/AR2023 cash-flow notes but not extracted (full-report PDFs not readable in this environment); not needed for any core check.</t>
  </si>
  <si>
    <t xml:space="preserve">Changes in working capital</t>
  </si>
  <si>
    <t xml:space="preserve">Historical Financials excl. Ice Cream (15 Jan 2026) (2023C); FY25 results (12 Feb 2026) p.24 (2024–25) | dataset: Raw Cash Flow r20</t>
  </si>
  <si>
    <t xml:space="preserve">Pensions and similar obligations less payments</t>
  </si>
  <si>
    <t xml:space="preserve">Historical Financials excl. Ice Cream (15 Jan 2026) (2023C); FY25 results (12 Feb 2026) p.24 (2024–25) | dataset: Raw Cash Flow r21</t>
  </si>
  <si>
    <t xml:space="preserve">Provisions less payments</t>
  </si>
  <si>
    <t xml:space="preserve">Historical Financials excl. Ice Cream (15 Jan 2026) (2023C); FY25 results (12 Feb 2026) p.24 (2024–25) | dataset: Raw Cash Flow r22</t>
  </si>
  <si>
    <t xml:space="preserve">Elimination of (profits)/losses on disposals</t>
  </si>
  <si>
    <t xml:space="preserve">Historical Financials excl. Ice Cream (15 Jan 2026) (2023C); FY25 results (12 Feb 2026) p.24 (2024–25) | dataset: Raw Cash Flow r23</t>
  </si>
  <si>
    <t xml:space="preserve">Non-cash charge for share-based compensation</t>
  </si>
  <si>
    <t xml:space="preserve">Historical Financials excl. Ice Cream (15 Jan 2026) (2023C); FY25 results (12 Feb 2026) p.24 (2024–25) | dataset: Raw Cash Flow r24</t>
  </si>
  <si>
    <t xml:space="preserve">Other adjustments</t>
  </si>
  <si>
    <t xml:space="preserve">Historical Financials excl. Ice Cream (15 Jan 2026) (2023C); FY25 results (12 Feb 2026) p.24 (2024–25) | dataset: Raw Cash Flow r25</t>
  </si>
  <si>
    <t xml:space="preserve">Cash flow from operating activities (before tax)</t>
  </si>
  <si>
    <t xml:space="preserve">AR2022; AR2023; AR2025 | dataset: Raw Cash Flow r6</t>
  </si>
  <si>
    <t xml:space="preserve">Unilever FCF starting point. 2023 Continuing–2025: continuing operations.</t>
  </si>
  <si>
    <t xml:space="preserve">Income tax paid</t>
  </si>
  <si>
    <t xml:space="preserve">AR2022; AR2023; AR2025 | dataset: Raw Cash Flow r7</t>
  </si>
  <si>
    <t xml:space="preserve">Net cash flow from operating activities (after tax)</t>
  </si>
  <si>
    <t xml:space="preserve">FY22 results (9 Feb 2023) p.18; FY23 results (8 Feb 2024) p.21; FY25 results (12 Feb 2026) p.24 | dataset: Raw Cash Flow r8</t>
  </si>
  <si>
    <t xml:space="preserve">As reported. 2023 Continuing (8,393) is not printed in the sources accessed; the model calculates it.</t>
  </si>
  <si>
    <t xml:space="preserve">Net cash flow from operating activities — discontinued</t>
  </si>
  <si>
    <t xml:space="preserve">FY22 results (9 Feb 2023) p.18; FY23 results (8 Feb 2024) p.21; Form 20-F 2025 XBRL (SEC 0000217410-26-000007); FY25 results (12 Feb 2026) p.24 | dataset: Raw Cash Flow r9</t>
  </si>
  <si>
    <t xml:space="preserve">0 = no discontinued operations presented in that year's cash-flow statement.</t>
  </si>
  <si>
    <t xml:space="preserve">CASH FLOW — FCF RECONCILIATION (Unilever definition)</t>
  </si>
  <si>
    <t xml:space="preserve">Net capital expenditure</t>
  </si>
  <si>
    <t xml:space="preserve">FCF reconciliation | dataset: Raw Cash Flow r10</t>
  </si>
  <si>
    <t xml:space="preserve">Net interest payments</t>
  </si>
  <si>
    <t xml:space="preserve">FCF reconciliation | dataset: Raw Cash Flow r11</t>
  </si>
  <si>
    <t xml:space="preserve">Interest paid net of interest received.</t>
  </si>
  <si>
    <t xml:space="preserve">Free cash flow (reported)</t>
  </si>
  <si>
    <t xml:space="preserve">AR2022; AR2023; AR2025 | dataset: Raw Cash Flow r12</t>
  </si>
  <si>
    <t xml:space="preserve">CASH FLOW — INVESTING</t>
  </si>
  <si>
    <t xml:space="preserve">Purchase of intangible assets</t>
  </si>
  <si>
    <t xml:space="preserve">FY25 results (12 Feb 2026) p.24 | dataset: Raw Cash Flow r27</t>
  </si>
  <si>
    <t xml:space="preserve">2021–2023: line detail disclosed in AR2022/AR2023/AR2025 cash-flow statements but not extracted; not needed for any core check.</t>
  </si>
  <si>
    <t xml:space="preserve">Purchase of property, plant and equipment</t>
  </si>
  <si>
    <t xml:space="preserve">FY25 results (12 Feb 2026) p.24 | dataset: Raw Cash Flow r28</t>
  </si>
  <si>
    <t xml:space="preserve">Disposal of property, plant and equipment</t>
  </si>
  <si>
    <t xml:space="preserve">FY25 results (12 Feb 2026) p.24 | dataset: Raw Cash Flow r29</t>
  </si>
  <si>
    <t xml:space="preserve">Acquisition of businesses and investments in joint ventures and associates</t>
  </si>
  <si>
    <t xml:space="preserve">FY25 results (12 Feb 2026) p.24 | dataset: Raw Cash Flow r30</t>
  </si>
  <si>
    <t xml:space="preserve">Disposal of businesses, joint ventures and associates</t>
  </si>
  <si>
    <t xml:space="preserve">FY25 results (12 Feb 2026) p.24 | dataset: Raw Cash Flow r31</t>
  </si>
  <si>
    <t xml:space="preserve">Acquisition of other non-current investments</t>
  </si>
  <si>
    <t xml:space="preserve">FY25 results (12 Feb 2026) p.24 | dataset: Raw Cash Flow r32</t>
  </si>
  <si>
    <t xml:space="preserve">Disposal of other non-current investments</t>
  </si>
  <si>
    <t xml:space="preserve">FY25 results (12 Feb 2026) p.24 | dataset: Raw Cash Flow r33</t>
  </si>
  <si>
    <t xml:space="preserve">Dividends from joint ventures, associates and other non-current investments</t>
  </si>
  <si>
    <t xml:space="preserve">FY25 results (12 Feb 2026) p.24 | dataset: Raw Cash Flow r34</t>
  </si>
  <si>
    <t xml:space="preserve">Sale/(purchase) of financial assets</t>
  </si>
  <si>
    <t xml:space="preserve">FY25 results (12 Feb 2026) p.24 | dataset: Raw Cash Flow r35</t>
  </si>
  <si>
    <t xml:space="preserve">Interest received</t>
  </si>
  <si>
    <t xml:space="preserve">FY22 results (9 Feb 2023) p.18; FY23 results (8 Feb 2024) p.21; FY25 results (12 Feb 2026) p.24 | dataset: Raw Cash Flow r36</t>
  </si>
  <si>
    <t xml:space="preserve">2023 Continuing not printed in sources accessed.</t>
  </si>
  <si>
    <t xml:space="preserve">Net cash flow from investing activities — continuing</t>
  </si>
  <si>
    <t xml:space="preserve">FY22 results (9 Feb 2023) p.18; FY23 results (8 Feb 2024) p.21; Historical Financials excl. Ice Cream (15 Jan 2026); FY25 results (12 Feb 2026) p.24 | dataset: Raw Cash Flow r37</t>
  </si>
  <si>
    <t xml:space="preserve">2021–2023 Original: whole group (no split presented).</t>
  </si>
  <si>
    <t xml:space="preserve">Net cash flow from investing activities — discontinued</t>
  </si>
  <si>
    <t xml:space="preserve">Form 20-F 2025 XBRL (SEC 0000217410-26-000007); FY25 results (12 Feb 2026) p.24 | dataset: Raw Cash Flow r38</t>
  </si>
  <si>
    <t xml:space="preserve">Net cash flow from investing activities — total</t>
  </si>
  <si>
    <t xml:space="preserve">FY22 results (9 Feb 2023) p.18; FY23 results (8 Feb 2024) p.21; Form 20-F 2025 XBRL (SEC 0000217410-26-000007); FY25 results (12 Feb 2026) p.24 | dataset: Raw Cash Flow r39</t>
  </si>
  <si>
    <t xml:space="preserve">2023 total identical on both bases (SEC XBRL FY2023 and FY2025 filings).</t>
  </si>
  <si>
    <t xml:space="preserve">CASH FLOW — FINANCING</t>
  </si>
  <si>
    <t xml:space="preserve">Dividends paid on ordinary share capital</t>
  </si>
  <si>
    <t xml:space="preserve">FY22 results (9 Feb 2023) p.18; FY23 results (8 Feb 2024) p.21; Form 20-F 2025 XBRL (SEC 0000217410-26-000007); FY25 results (12 Feb 2026) p.24 | dataset: Raw Cash Flow r41</t>
  </si>
  <si>
    <t xml:space="preserve">2023 on both bases added in v4 (4,363 in FY2023 and FY2025 20-F XBRL).</t>
  </si>
  <si>
    <t xml:space="preserve">Interest paid</t>
  </si>
  <si>
    <t xml:space="preserve">FY22 results (9 Feb 2023) p.18; FY23 results (8 Feb 2024) p.21; Form 20-F 2025 XBRL (SEC 0000217410-26-000007); FY25 results (12 Feb 2026) p.24 | dataset: Raw Cash Flow r42</t>
  </si>
  <si>
    <t xml:space="preserve">2023 added in v4: Original 899 (FY23 results; 899 − 267 received = 632 net), Continuing 751 (FY2025 20-F XBRL).</t>
  </si>
  <si>
    <t xml:space="preserve">Net change in short-term borrowings</t>
  </si>
  <si>
    <t xml:space="preserve">FY25 results (12 Feb 2026) p.24 | dataset: Raw Cash Flow r43</t>
  </si>
  <si>
    <t xml:space="preserve">Additional financial liabilities</t>
  </si>
  <si>
    <t xml:space="preserve">FY25 results (12 Feb 2026) p.24 | dataset: Raw Cash Flow r44</t>
  </si>
  <si>
    <t xml:space="preserve">Repayment of financial liabilities</t>
  </si>
  <si>
    <t xml:space="preserve">FY25 results (12 Feb 2026) p.24 | dataset: Raw Cash Flow r45</t>
  </si>
  <si>
    <t xml:space="preserve">Capital element of lease rental payments</t>
  </si>
  <si>
    <t xml:space="preserve">FY25 results (12 Feb 2026) p.24 | dataset: Raw Cash Flow r46</t>
  </si>
  <si>
    <t xml:space="preserve">Repurchase of shares</t>
  </si>
  <si>
    <t xml:space="preserve">FY22 results (9 Feb 2023) p.18; FY23 results (8 Feb 2024) p.21; FY25 results (12 Feb 2026) p.24 | dataset: Raw Cash Flow r47</t>
  </si>
  <si>
    <t xml:space="preserve">2023 Original added in v4 (FY23 results). 2023 Continuing not printed in sources accessed.</t>
  </si>
  <si>
    <t xml:space="preserve">Other financing activities</t>
  </si>
  <si>
    <t xml:space="preserve">FY25 results (12 Feb 2026) p.24 | dataset: Raw Cash Flow r48</t>
  </si>
  <si>
    <t xml:space="preserve">Net cash flow from financing activities — continuing</t>
  </si>
  <si>
    <t xml:space="preserve">FY22 results (9 Feb 2023) p.18; FY23 results (8 Feb 2024) p.21; Historical Financials excl. Ice Cream (15 Jan 2026); FY25 results (12 Feb 2026) p.24 | dataset: Raw Cash Flow r49</t>
  </si>
  <si>
    <t xml:space="preserve">Net cash flow from financing activities — discontinued</t>
  </si>
  <si>
    <t xml:space="preserve">Form 20-F 2025 XBRL (SEC 0000217410-26-000007); FY25 results (12 Feb 2026) p.24 | dataset: Raw Cash Flow r50</t>
  </si>
  <si>
    <t xml:space="preserve">Net cash flow from financing activities — total</t>
  </si>
  <si>
    <t xml:space="preserve">FY22 results (9 Feb 2023) p.18; FY23 results (8 Feb 2024) p.21; Form 20-F 2025 XBRL (SEC 0000217410-26-000007); FY25 results (12 Feb 2026) p.24 | dataset: Raw Cash Flow r51</t>
  </si>
  <si>
    <t xml:space="preserve">CASH FLOW — CASH BRIDGE (cash-flow-statement cash, net of overdrafts)</t>
  </si>
  <si>
    <t xml:space="preserve">Cash and cash equivalents at beginning of year (CF statement)</t>
  </si>
  <si>
    <t xml:space="preserve">FY22 results (9 Feb 2023) p.18; FY23 results (8 Feb 2024) p.21; FY25 results (12 Feb 2026) p.24 | dataset: Raw Cash Flow r53</t>
  </si>
  <si>
    <t xml:space="preserve">2021 opening = 31 Dec 2020 closing (FY22 results). Group cash is unaffected by re-presentation, so 2023 is the same on both bases.</t>
  </si>
  <si>
    <t xml:space="preserve">Net increase/(decrease) in cash and cash equivalents</t>
  </si>
  <si>
    <t xml:space="preserve">FY22 results (9 Feb 2023) p.18; FY23 results (8 Feb 2024) p.21; FY25 results (12 Feb 2026) p.24 | dataset: Raw Cash Flow r54</t>
  </si>
  <si>
    <t xml:space="preserve">2023 Continuing not printed in sources accessed; not used by the bridge (which rebuilds it).</t>
  </si>
  <si>
    <t xml:space="preserve">Effect of foreign exchange rate changes</t>
  </si>
  <si>
    <t xml:space="preserve">FY22 results (9 Feb 2023) p.18; FY23 results (8 Feb 2024) p.21; Form 20-F 2025 XBRL (SEC 0000217410-26-000007); FY25 results (12 Feb 2026) p.24 | dataset: Raw Cash Flow r55</t>
  </si>
  <si>
    <t xml:space="preserve">Cash and cash equivalents at end of year (CF statement)</t>
  </si>
  <si>
    <t xml:space="preserve">FY22 results (9 Feb 2023) p.18; FY23 results (8 Feb 2024) p.21; FY25 results (12 Feb 2026) p.24 | dataset: Raw Cash Flow r56</t>
  </si>
  <si>
    <t xml:space="preserve">2025 value 3,870 now confirmed (FY25 results p.24 and net-debt table p.16).</t>
  </si>
  <si>
    <t xml:space="preserve">03 HISTORICAL_IS — INCOME STATEMENT ENGINE</t>
  </si>
  <si>
    <t xml:space="preserve">€ million. Costs are shown as positive numbers (as reported in the source). Green = link to RAW_DATA; black = calculation.</t>
  </si>
  <si>
    <t xml:space="preserve">€m</t>
  </si>
  <si>
    <t xml:space="preserve">Notes</t>
  </si>
  <si>
    <t xml:space="preserve">A. Input lines (linked to RAW_DATA)</t>
  </si>
  <si>
    <t xml:space="preserve">Positive = net cost.</t>
  </si>
  <si>
    <t xml:space="preserve">Net monetary gain/(loss) from hyperinflationary economies</t>
  </si>
  <si>
    <t xml:space="preserve">Other PBT item. Negative = loss.</t>
  </si>
  <si>
    <t xml:space="preserve">Share of net profit/(loss) of JVs and associates</t>
  </si>
  <si>
    <t xml:space="preserve">Other PBT item. Positive = income.</t>
  </si>
  <si>
    <t xml:space="preserve">Other income/(loss) from non-current investments</t>
  </si>
  <si>
    <t xml:space="preserve">Profit before tax</t>
  </si>
  <si>
    <t xml:space="preserve">Tax</t>
  </si>
  <si>
    <t xml:space="preserve">Positive = charge.</t>
  </si>
  <si>
    <t xml:space="preserve">2021–2023 Original: total group net profit. 2023 Continuing–2025: continuing operations.</t>
  </si>
  <si>
    <t xml:space="preserve">Memo: implied other PBT items (PBT − operating profit + net finance costs)</t>
  </si>
  <si>
    <t xml:space="preserve">Diagnostic only: equals hyperinflation + JV/associate share + other income (tested in Check 1). Not used as an input.</t>
  </si>
  <si>
    <t xml:space="preserve">B. Income-statement calculations</t>
  </si>
  <si>
    <t xml:space="preserve">Revenue growth (like-for-like)</t>
  </si>
  <si>
    <t xml:space="preserve">2022 vs 2021; 2023 Original vs 2022; 2024 vs 2023 Continuing; 2025 vs 2024. No 2021 (needs 2020) and no 2023 Continuing (no re-presented 2022).</t>
  </si>
  <si>
    <t xml:space="preserve">Operating margin</t>
  </si>
  <si>
    <t xml:space="preserve">Net margin</t>
  </si>
  <si>
    <t xml:space="preserve">Effective tax rate</t>
  </si>
  <si>
    <t xml:space="preserve">Tax ÷ PBT. Effective, not statutory.</t>
  </si>
  <si>
    <t xml:space="preserve">Finance-cost ratio</t>
  </si>
  <si>
    <t xml:space="preserve">Net finance costs ÷ turnover.</t>
  </si>
  <si>
    <t xml:space="preserve">04 HISTORICAL_BS — TREASURY-RELEVANT BALANCE SHEET ENGINE</t>
  </si>
  <si>
    <t xml:space="preserve">€ million, year-end. 2023 Continuing column is not applicable (balance sheets are not re-presented); the 2023 year-end sits in 2023 Original.</t>
  </si>
  <si>
    <t xml:space="preserve">A. Operating assets</t>
  </si>
  <si>
    <t xml:space="preserve">Other current receivables</t>
  </si>
  <si>
    <t xml:space="preserve">Derived: total current trade and other receivables − trade receivables.</t>
  </si>
  <si>
    <t xml:space="preserve">Total current receivables</t>
  </si>
  <si>
    <t xml:space="preserve">B. Liquidity</t>
  </si>
  <si>
    <t xml:space="preserve">Cash &amp; cash equivalents (balance sheet)</t>
  </si>
  <si>
    <t xml:space="preserve">Total liquidity</t>
  </si>
  <si>
    <t xml:space="preserve">Cash + other current financial assets. Excludes undrawn facilities; includes restricted cash.</t>
  </si>
  <si>
    <t xml:space="preserve">C. Cash definitions — kept separate, never combined</t>
  </si>
  <si>
    <t xml:space="preserve">Cash &amp; equivalents — balance sheet</t>
  </si>
  <si>
    <t xml:space="preserve">Cash &amp; equivalents — cash-flow statement (net of overdrafts)</t>
  </si>
  <si>
    <t xml:space="preserve">Cash-flow-statement closing balance.</t>
  </si>
  <si>
    <t xml:space="preserve">Bank overdrafts</t>
  </si>
  <si>
    <t xml:space="preserve">Cash held for sale — reconciling adjustment (as printed)</t>
  </si>
  <si>
    <t xml:space="preserve">Sign as printed in Unilever's net-debt table (brackets = deduction). CF cash + overdrafts + this = balance-sheet cash.</t>
  </si>
  <si>
    <t xml:space="preserve">Memo: balance-sheet cash − cash-flow-statement cash</t>
  </si>
  <si>
    <t xml:space="preserve">Equals overdrafts + held-for-sale adjustment (tested on HISTORICAL_CHECKS, S1).</t>
  </si>
  <si>
    <t xml:space="preserve">D. Operating liabilities</t>
  </si>
  <si>
    <t xml:space="preserve">Other current operating liabilities</t>
  </si>
  <si>
    <t xml:space="preserve">Derived: total trade payables and other current liabilities − trade payables − accruals.</t>
  </si>
  <si>
    <t xml:space="preserve">Total operating liabilities</t>
  </si>
  <si>
    <t xml:space="preserve">Reported 'trade payables and other current liabilities'.</t>
  </si>
  <si>
    <t xml:space="preserve">Operating NWC (inventories + total current receivables − total operating liabilities)</t>
  </si>
  <si>
    <t xml:space="preserve">Historical base only — not used for forecasting in Step 2. Negative = operating liabilities exceed operating assets.</t>
  </si>
  <si>
    <t xml:space="preserve">E. Financial liabilities — current</t>
  </si>
  <si>
    <t xml:space="preserve">Bank loans and overdrafts</t>
  </si>
  <si>
    <t xml:space="preserve">Bonds and other loans</t>
  </si>
  <si>
    <t xml:space="preserve">Lease liabilities</t>
  </si>
  <si>
    <t xml:space="preserve">Derivatives</t>
  </si>
  <si>
    <t xml:space="preserve">Other financial liabilities</t>
  </si>
  <si>
    <t xml:space="preserve">Sum of current categories</t>
  </si>
  <si>
    <t xml:space="preserve">Blank until every category is sourced.</t>
  </si>
  <si>
    <t xml:space="preserve">Total current financial liabilities (reported)</t>
  </si>
  <si>
    <t xml:space="preserve">E. Financial liabilities — non-current</t>
  </si>
  <si>
    <t xml:space="preserve">Sum of non-current categories</t>
  </si>
  <si>
    <t xml:space="preserve">Total non-current financial liabilities (reported)</t>
  </si>
  <si>
    <t xml:space="preserve">E. Financial liabilities — total</t>
  </si>
  <si>
    <t xml:space="preserve">Total financial liabilities (current + non-current)</t>
  </si>
  <si>
    <t xml:space="preserve">Total financial liabilities (reported)</t>
  </si>
  <si>
    <t xml:space="preserve">Memo: bonds and other loans — total (reported)</t>
  </si>
  <si>
    <t xml:space="preserve">Memo: bank loans and overdrafts — total (reported)</t>
  </si>
  <si>
    <t xml:space="preserve">F. Net debt — Unilever reconciliation</t>
  </si>
  <si>
    <t xml:space="preserve">Total financial liabilities</t>
  </si>
  <si>
    <t xml:space="preserve">Less: cash &amp; cash equivalents (balance sheet)</t>
  </si>
  <si>
    <t xml:space="preserve">Balance-sheet cash = CF-statement cash + overdrafts + held-for-sale adjustment (section C). Using it directly avoids double-counting those items.</t>
  </si>
  <si>
    <t xml:space="preserve">Less: other current financial assets</t>
  </si>
  <si>
    <t xml:space="preserve">Less: non-current financial asset derivatives related to financial liabilities</t>
  </si>
  <si>
    <t xml:space="preserve">From Unilever's net-debt reconciliation.</t>
  </si>
  <si>
    <t xml:space="preserve">Model net debt</t>
  </si>
  <si>
    <t xml:space="preserve">Reported net debt</t>
  </si>
  <si>
    <t xml:space="preserve">Net debt check (model − reported)</t>
  </si>
  <si>
    <t xml:space="preserve">Memo: gap before non-current derivatives (TFL − cash − other CFA − reported ND)</t>
  </si>
  <si>
    <t xml:space="preserve">Diagnostic: equals the reported derivative line above in every year. Not a plug.</t>
  </si>
  <si>
    <t xml:space="preserve">05 HISTORICAL_CF — CASH-FLOW ENGINE</t>
  </si>
  <si>
    <t xml:space="preserve">€ million. Inflows positive, outflows negative (as reported). 2023 Continuing–2025 on the AR2025 continuing basis.</t>
  </si>
  <si>
    <t xml:space="preserve">A. Operating cash flow</t>
  </si>
  <si>
    <t xml:space="preserve">Net profit from continuing operations</t>
  </si>
  <si>
    <t xml:space="preserve">JV/associate and non-current investment income</t>
  </si>
  <si>
    <t xml:space="preserve">Hyperinflationary adjustments</t>
  </si>
  <si>
    <t xml:space="preserve">Pensions</t>
  </si>
  <si>
    <t xml:space="preserve">Provisions</t>
  </si>
  <si>
    <t xml:space="preserve">Disposal adjustments</t>
  </si>
  <si>
    <t xml:space="preserve">Share-based compensation</t>
  </si>
  <si>
    <t xml:space="preserve">Sum of components</t>
  </si>
  <si>
    <t xml:space="preserve">Blank until every component is sourced; tested against reported operating cash flow (S4).</t>
  </si>
  <si>
    <t xml:space="preserve">Operating cash flow (cash flow from operating activities, before tax)</t>
  </si>
  <si>
    <t xml:space="preserve">Unilever's FCF starting point. 2023 Continuing–2025 are continuing operations only.</t>
  </si>
  <si>
    <t xml:space="preserve">Net operating cash flow after tax — continuing (calculated)</t>
  </si>
  <si>
    <t xml:space="preserve">2021–2023 Original: whole group (no discontinued split then).</t>
  </si>
  <si>
    <t xml:space="preserve">Net operating cash flow after tax (reported)</t>
  </si>
  <si>
    <t xml:space="preserve">As printed; 2023 Continuing not printed in sources accessed. Tested in S7.</t>
  </si>
  <si>
    <t xml:space="preserve">Net operating cash flow — discontinued</t>
  </si>
  <si>
    <t xml:space="preserve">0 for 2021–2023 Original: no discontinued operations presented then.</t>
  </si>
  <si>
    <t xml:space="preserve">Net operating cash flow — total</t>
  </si>
  <si>
    <t xml:space="preserve">B. Investing cash flow</t>
  </si>
  <si>
    <t xml:space="preserve">Per Unilever FCF reconciliation.</t>
  </si>
  <si>
    <t xml:space="preserve">Acquisitions (businesses and JV/associate investments)</t>
  </si>
  <si>
    <t xml:space="preserve">Disposals (businesses, JVs and associates)</t>
  </si>
  <si>
    <t xml:space="preserve">Financial investments (sale/(purchase) of financial assets)</t>
  </si>
  <si>
    <t xml:space="preserve">Other investing movements</t>
  </si>
  <si>
    <t xml:space="preserve">Derived: other non-current investments acquired + disposed + dividends from JVs/associates (reported lines in RAW_DATA).</t>
  </si>
  <si>
    <t xml:space="preserve">Memo: sum of investing lines</t>
  </si>
  <si>
    <t xml:space="preserve">Should equal continuing investing cash flow (S8).</t>
  </si>
  <si>
    <t xml:space="preserve">Continuing investing cash flow</t>
  </si>
  <si>
    <t xml:space="preserve">Discontinued investing cash flow</t>
  </si>
  <si>
    <t xml:space="preserve">Total investing cash flow</t>
  </si>
  <si>
    <t xml:space="preserve">Total is used in the cash bridge; continuing ≠ total.</t>
  </si>
  <si>
    <t xml:space="preserve">C. Financing cash flow</t>
  </si>
  <si>
    <t xml:space="preserve">Dividends</t>
  </si>
  <si>
    <t xml:space="preserve">Short-term borrowing movement</t>
  </si>
  <si>
    <t xml:space="preserve">Lease principal payments</t>
  </si>
  <si>
    <t xml:space="preserve">Share repurchases</t>
  </si>
  <si>
    <t xml:space="preserve">Memo: sum of financing lines</t>
  </si>
  <si>
    <t xml:space="preserve">Should equal continuing financing cash flow (S9).</t>
  </si>
  <si>
    <t xml:space="preserve">Continuing financing cash flow</t>
  </si>
  <si>
    <t xml:space="preserve">Discontinued financing cash flow</t>
  </si>
  <si>
    <t xml:space="preserve">Total financing cash flow</t>
  </si>
  <si>
    <t xml:space="preserve">Total is used in the cash bridge. Do not substitute the continuing figure (e.g. 2025 continuing −9,884 vs total −6,814 per brief).</t>
  </si>
  <si>
    <t xml:space="preserve">D. Free cash flow (Unilever definition)</t>
  </si>
  <si>
    <t xml:space="preserve">Operating cash flow</t>
  </si>
  <si>
    <t xml:space="preserve">Less: income tax paid</t>
  </si>
  <si>
    <t xml:space="preserve">Less: net capital expenditure</t>
  </si>
  <si>
    <t xml:space="preserve">Less: net interest payments</t>
  </si>
  <si>
    <t xml:space="preserve">Calculated FCF</t>
  </si>
  <si>
    <t xml:space="preserve">Reported FCF</t>
  </si>
  <si>
    <t xml:space="preserve">Difference</t>
  </si>
  <si>
    <t xml:space="preserve">€1m differences are rounding in the reported figures.</t>
  </si>
  <si>
    <t xml:space="preserve">E. Cash bridge (cash-flow-statement cash)</t>
  </si>
  <si>
    <t xml:space="preserve">Opening cash</t>
  </si>
  <si>
    <t xml:space="preserve">+ Operating cash flow (net, after tax, total)</t>
  </si>
  <si>
    <t xml:space="preserve">+ Investing cash flow (total)</t>
  </si>
  <si>
    <t xml:space="preserve">+ Financing cash flow (total)</t>
  </si>
  <si>
    <t xml:space="preserve">+ FX effect</t>
  </si>
  <si>
    <t xml:space="preserve">Calculated closing cash</t>
  </si>
  <si>
    <t xml:space="preserve">Reported closing cash (cash-flow statement)</t>
  </si>
  <si>
    <t xml:space="preserve">Cash-flow-statement cash, not balance-sheet cash (2025: 3,870 vs 3,941).</t>
  </si>
  <si>
    <t xml:space="preserve">Cash bridge error</t>
  </si>
  <si>
    <t xml:space="preserve">F. Historical cash metrics</t>
  </si>
  <si>
    <t xml:space="preserve">OCF conversion (operating CF ÷ operating profit)</t>
  </si>
  <si>
    <t xml:space="preserve">Operating CF is before tax.</t>
  </si>
  <si>
    <t xml:space="preserve">Simple FCF conversion (FCF ÷ net profit)</t>
  </si>
  <si>
    <t xml:space="preserve">Not Unilever's reported cash-conversion KPI, which excludes certain disposal/JV/associate effects.</t>
  </si>
  <si>
    <t xml:space="preserve">Capex intensity (|net capex| ÷ revenue)</t>
  </si>
  <si>
    <t xml:space="preserve">Dividend coverage (FCF ÷ dividends)</t>
  </si>
  <si>
    <t xml:space="preserve">Distribution ratio ((dividends + buybacks) ÷ FCF)</t>
  </si>
  <si>
    <t xml:space="preserve">Above 100% = distributions exceeded FCF.</t>
  </si>
  <si>
    <t xml:space="preserve">06 WORKING_CAPITAL — BASIC MOVEMENTS ONLY (Step 3 builds DSO/DIO/DPO/CCC)</t>
  </si>
  <si>
    <t xml:space="preserve">€ million. Movements compare year-end balances: 2022 vs 2021, 2023 vs 2022, 2024 vs 2023, 2025 vs 2024. 2021 needs 2020 balances (not in source).</t>
  </si>
  <si>
    <t xml:space="preserve">Balances (from HISTORICAL_BS)</t>
  </si>
  <si>
    <t xml:space="preserve">Movements</t>
  </si>
  <si>
    <t xml:space="preserve">Δ Inventory</t>
  </si>
  <si>
    <t xml:space="preserve">Δ Receivables (trade)</t>
  </si>
  <si>
    <t xml:space="preserve">Δ Payables (trade)</t>
  </si>
  <si>
    <t xml:space="preserve">Cash impact (sign convention: positive = cash released)</t>
  </si>
  <si>
    <t xml:space="preserve">Inventory cash impact (−Δ inventory)</t>
  </si>
  <si>
    <t xml:space="preserve">Receivables cash impact (−Δ receivables)</t>
  </si>
  <si>
    <t xml:space="preserve">Payables cash impact (+Δ payables)</t>
  </si>
  <si>
    <t xml:space="preserve">Simplified working-capital cash impact</t>
  </si>
  <si>
    <t xml:space="preserve">Memo: change in working capital per cash-flow statement</t>
  </si>
  <si>
    <t xml:space="preserve">Reported cash effect (continuing), available 2023 Continuing–2025. Differs from the simplified balance-sheet impact above — see notes.</t>
  </si>
  <si>
    <t xml:space="preserve">Interpretation notes</t>
  </si>
  <si>
    <t xml:space="preserve">• Balance-sheet movements are not cash flows: they include FX translation, acquisitions/disposals and reclassifications. The cash-flow statement figure is the reported cash effect.</t>
  </si>
  <si>
    <t xml:space="preserve">• 2025 vs 2024: the Ice Cream demerger completed in December 2025, so 2025 year-end balances exclude Ice Cream while 2024 balances were reported before it. Part of the 2025 movement is a demerger effect, not trading cash.</t>
  </si>
  <si>
    <t xml:space="preserve">• Only trade receivables and trade payables are used here, as specified. Other receivables, accruals and other operating liabilities are on HISTORICAL_BS.</t>
  </si>
  <si>
    <t xml:space="preserve">• DSO, DIO, DPO, CCC, cash-release calculations and sensitivities belong to Step 3.</t>
  </si>
  <si>
    <t xml:space="preserve">07 HISTORICAL_CHECKS — RECONCILIATIONS AND AUTOMATIC STATUS FLAGS</t>
  </si>
  <si>
    <t xml:space="preserve">Every status is a formula. N/A = at least one input for that period is Unavailable in the source. Differences in € million.</t>
  </si>
  <si>
    <t xml:space="preserve">Tolerance (€m)</t>
  </si>
  <si>
    <t xml:space="preserve">Reported figures are rounded to €1m, so a €1m difference is rounding (e.g. 2025 PBT 8,693 − tax 2,481 = 6,212 vs reported 6,213). A 0.1 tolerance would flag rounding as ERROR.</t>
  </si>
  <si>
    <t xml:space="preserve">Summary</t>
  </si>
  <si>
    <t xml:space="preserve">Core checks with status PASS</t>
  </si>
  <si>
    <t xml:space="preserve">Core checks with status ERROR</t>
  </si>
  <si>
    <t xml:space="preserve">Core checks fully N/A (not yet testable — source data missing)</t>
  </si>
  <si>
    <t xml:space="preserve">Period-level ERROR flags (core + supplementary)</t>
  </si>
  <si>
    <t xml:space="preserve">STEP 2 STATUS</t>
  </si>
  <si>
    <t xml:space="preserve">Core checks (Step 2 specification)</t>
  </si>
  <si>
    <t xml:space="preserve">Check</t>
  </si>
  <si>
    <t xml:space="preserve">Periods tested</t>
  </si>
  <si>
    <t xml:space="preserve">What it tests / why N/A</t>
  </si>
  <si>
    <t xml:space="preserve">Check 1 — PBT: operating profit − net finance costs + hyperinflation + JV/associate share + other income − PBT</t>
  </si>
  <si>
    <t xml:space="preserve">Unilever's reported structure between operating profit and PBT (all five lines).</t>
  </si>
  <si>
    <t xml:space="preserve">     status</t>
  </si>
  <si>
    <t xml:space="preserve">Check 2 — Net income: PBT − tax − net profit</t>
  </si>
  <si>
    <t xml:space="preserve">Check 3 — Financial liabilities: current + non-current − reported total</t>
  </si>
  <si>
    <t xml:space="preserve">Check 4 — FCF: calculated − reported</t>
  </si>
  <si>
    <t xml:space="preserve">Check 5 — Net debt: model − reported</t>
  </si>
  <si>
    <t xml:space="preserve">Total financial liabilities − BS cash − other current financial assets − non-current derivative assets.</t>
  </si>
  <si>
    <t xml:space="preserve">Check 6 — Cash bridge: opening + operating + investing + financing + FX − closing</t>
  </si>
  <si>
    <t xml:space="preserve">Cash-flow-statement cash throughout; balance-sheet cash is never forced in.</t>
  </si>
  <si>
    <t xml:space="preserve">Supplementary checks (not required by the spec; they locate problems when a core check fails)</t>
  </si>
  <si>
    <t xml:space="preserve">S1 — Cash definitions: CF cash + overdrafts + held-for-sale adjustment − balance-sheet cash</t>
  </si>
  <si>
    <t xml:space="preserve">Held-for-sale adjustment carries the sign printed by Unilever (brackets = deduction).</t>
  </si>
  <si>
    <t xml:space="preserve">S2 — Current financial-liability categories − reported current total</t>
  </si>
  <si>
    <t xml:space="preserve">S3 — Non-current financial-liability categories − reported non-current total</t>
  </si>
  <si>
    <t xml:space="preserve">S4 — Operating-cash-flow components − reported operating cash flow</t>
  </si>
  <si>
    <t xml:space="preserve">S5 — Investing: continuing + discontinued − total</t>
  </si>
  <si>
    <t xml:space="preserve">S6 — Financing: continuing + discontinued − total</t>
  </si>
  <si>
    <t xml:space="preserve">S7 — Net operating cash flow after tax: calculated − reported</t>
  </si>
  <si>
    <t xml:space="preserve">e.g. 2023 Original: 11,561 − 2,135 = 9,426.</t>
  </si>
  <si>
    <t xml:space="preserve">S8 — Investing lines − continuing investing cash flow</t>
  </si>
  <si>
    <t xml:space="preserve">Line detail available for 2024–2025 only.</t>
  </si>
  <si>
    <t xml:space="preserve">S9 — Financing lines − continuing financing cash flow</t>
  </si>
  <si>
    <t xml:space="preserve">08 HISTORICAL_OUTPUTS — STEP 2 FINDINGS</t>
  </si>
  <si>
    <t xml:space="preserve">€ million unless stated. Every figure is a formula linked to the engine sheets. 2023 is shown on both bases; balance-sheet items have no 2023 Continuing column.</t>
  </si>
  <si>
    <t xml:space="preserve">Model status:</t>
  </si>
  <si>
    <t xml:space="preserve">Chart data (€bn, formula-linked; blank cells break the line at the basis change)</t>
  </si>
  <si>
    <t xml:space="preserve">Metric</t>
  </si>
  <si>
    <t xml:space="preserve">2023 O</t>
  </si>
  <si>
    <t xml:space="preserve">2023 C</t>
  </si>
  <si>
    <t xml:space="preserve">Section 1 — Financial performance</t>
  </si>
  <si>
    <t xml:space="preserve">Revenue — original basis</t>
  </si>
  <si>
    <t xml:space="preserve">Revenue</t>
  </si>
  <si>
    <t xml:space="preserve">Revenue — continuing basis</t>
  </si>
  <si>
    <t xml:space="preserve">Operating profit — original basis</t>
  </si>
  <si>
    <t xml:space="preserve">Operating profit — continuing basis</t>
  </si>
  <si>
    <t xml:space="preserve">Operating CF — original basis</t>
  </si>
  <si>
    <t xml:space="preserve">2023 Continuing onward: continuing operations.</t>
  </si>
  <si>
    <t xml:space="preserve">Operating CF — continuing basis</t>
  </si>
  <si>
    <t xml:space="preserve">FCF — original basis</t>
  </si>
  <si>
    <t xml:space="preserve">FCF — continuing basis</t>
  </si>
  <si>
    <t xml:space="preserve">Section 2 — Liquidity (year-end)</t>
  </si>
  <si>
    <t xml:space="preserve">Cash (balance sheet)</t>
  </si>
  <si>
    <t xml:space="preserve">2023</t>
  </si>
  <si>
    <t xml:space="preserve">Current financial assets</t>
  </si>
  <si>
    <t xml:space="preserve">Section 3 — Cash generation</t>
  </si>
  <si>
    <t xml:space="preserve">Operating cash flow (before tax)</t>
  </si>
  <si>
    <t xml:space="preserve">Free cash flow (calculated; reconciles to reported)</t>
  </si>
  <si>
    <t xml:space="preserve">Dividends paid</t>
  </si>
  <si>
    <t xml:space="preserve">Share buybacks</t>
  </si>
  <si>
    <t xml:space="preserve">Section 4 — Working-capital movements (simplified)</t>
  </si>
  <si>
    <t xml:space="preserve">Inventory change</t>
  </si>
  <si>
    <t xml:space="preserve">Receivables change (trade)</t>
  </si>
  <si>
    <t xml:space="preserve">Payables change (trade)</t>
  </si>
  <si>
    <t xml:space="preserve">Simplified cash impact (+ = cash released)</t>
  </si>
  <si>
    <t xml:space="preserve">2025 includes the Ice Cream demerger effect on balances.</t>
  </si>
  <si>
    <t xml:space="preserve">Section 5 — Historical growth (YoY, like-for-like)</t>
  </si>
  <si>
    <t xml:space="preserve">Revenue — YoY</t>
  </si>
  <si>
    <t xml:space="preserve">2024 vs 2023 Continuing.</t>
  </si>
  <si>
    <t xml:space="preserve">Operating profit — YoY</t>
  </si>
  <si>
    <t xml:space="preserve">Net profit — YoY</t>
  </si>
  <si>
    <t xml:space="preserve">Operating CF — YoY</t>
  </si>
  <si>
    <t xml:space="preserve">FCF — YoY</t>
  </si>
  <si>
    <t xml:space="preserve">Cash (balance sheet) — YoY</t>
  </si>
  <si>
    <t xml:space="preserve">2024 vs 2023 Original year-end; 2025 vs 2024 includes demerger.</t>
  </si>
  <si>
    <t xml:space="preserve">Current financial assets — YoY</t>
  </si>
  <si>
    <t xml:space="preserve">Net debt (reported) — YoY</t>
  </si>
  <si>
    <t xml:space="preserve">Trade receivables — YoY</t>
  </si>
  <si>
    <t xml:space="preserve">Inventories — YoY</t>
  </si>
  <si>
    <t xml:space="preserve">Trade payables — YoY</t>
  </si>
  <si>
    <t xml:space="preserve">Section 5b — CAGR (flows and stocks only; no CAGR on ratios)</t>
  </si>
  <si>
    <t xml:space="preserve">2021→2025 (4 yrs)</t>
  </si>
  <si>
    <t xml:space="preserve">2023C→2025 (2 yrs)</t>
  </si>
  <si>
    <t xml:space="preserve">2021→2025 is NOT like-for-like: 2021 includes Ice Cream, 2025 excludes it. 2023C→2025 is the like-for-like continuing measure.</t>
  </si>
  <si>
    <t xml:space="preserve">Operating CF</t>
  </si>
  <si>
    <t xml:space="preserve">FCF</t>
  </si>
  <si>
    <t xml:space="preserve">n/a</t>
  </si>
  <si>
    <t xml:space="preserve">2021→2025 is NOT like-for-like: 2021 includes Ice Cream, 2025 excludes it. No 2023 Continuing balance sheet.</t>
  </si>
  <si>
    <t xml:space="preserve">Section 5c — Descriptive statistics of growth drivers (descriptive only — too few observations for statistical inference)</t>
  </si>
  <si>
    <t xml:space="preserve">Driver</t>
  </si>
  <si>
    <t xml:space="preserve">Average</t>
  </si>
  <si>
    <t xml:space="preserve">Std dev</t>
  </si>
  <si>
    <t xml:space="preserve">Min</t>
  </si>
  <si>
    <t xml:space="preserve">Max</t>
  </si>
  <si>
    <t xml:space="preserve">Observations</t>
  </si>
  <si>
    <t xml:space="preserve">Revenue growth</t>
  </si>
  <si>
    <t xml:space="preserve">Sample std dev over like-for-like YoY rates (2022, 2023 Original, 2024, 2025).</t>
  </si>
  <si>
    <t xml:space="preserve">Operating CF growth</t>
  </si>
  <si>
    <t xml:space="preserve">FCF growth</t>
  </si>
  <si>
    <t xml:space="preserve">DSO</t>
  </si>
  <si>
    <t xml:space="preserve">Step 3 (Working Capital Engine).</t>
  </si>
  <si>
    <t xml:space="preserve">DIO</t>
  </si>
  <si>
    <t xml:space="preserve">DPO</t>
  </si>
  <si>
    <t xml:space="preserve">Charts — historical, explanatory (not the treasury dashboard). Solid = original basis (incl. Ice Cream); dashed = continuing basis (AR2025).</t>
  </si>
  <si>
    <t xml:space="preserve">Historical observations (factual; every number is a live formula)</t>
  </si>
  <si>
    <t xml:space="preserve">STEP 3 — TREASURY LIQUIDITY MODEL</t>
  </si>
  <si>
    <t xml:space="preserve">Documentation and logic map. Step 2 sheets are unchanged and act as the source layer.</t>
  </si>
  <si>
    <t xml:space="preserve">IMPORTANT MODELLING RULE</t>
  </si>
  <si>
    <t xml:space="preserve">Forecast cash flows are model assumptions and model outputs. They are not Unilever confidential treasury forecasts.</t>
  </si>
  <si>
    <t xml:space="preserve">Step 3 objective</t>
  </si>
  <si>
    <t xml:space="preserve">Estimate near-term liquidity requirements under base and stressed scenarios, identify potential liquidity deficits or surplus cash, and evaluate the funding/investment trade-off subject to an explicit minimum liquidity buffer.</t>
  </si>
  <si>
    <t xml:space="preserve">Step 2 status</t>
  </si>
  <si>
    <t xml:space="preserve">Frozen. All Step 2 sheets, checks and charts are unchanged and act as the source layer; the v4 raw dataset is not altered.</t>
  </si>
  <si>
    <t xml:space="preserve">Forecast horizon</t>
  </si>
  <si>
    <t xml:space="preserve">13 weeks, starting the day after the 31 Dec 2025 balance sheet (weekly buckets; dates generated by formula on 13W_FORECAST).</t>
  </si>
  <si>
    <t xml:space="preserve">Scenario selector</t>
  </si>
  <si>
    <t xml:space="preserve">13W_FORECAST!C4 (yellow dropdown: Base / Downside / Severe). One engine responds to it; there are no model copies.</t>
  </si>
  <si>
    <t xml:space="preserve">Base case</t>
  </si>
  <si>
    <t xml:space="preserve">Normal operating environment: 2025 continuing-basis run-rate, no growth, no working-capital stress, no rate or FX shock.</t>
  </si>
  <si>
    <t xml:space="preserve">Downside case</t>
  </si>
  <si>
    <t xml:space="preserve">Moderately adverse: customers pay 7 days later; +50bp on floating debt and new funding; non-EUR currencies −5% vs EUR. Supplier payments, tax and capex unchanged.</t>
  </si>
  <si>
    <t xml:space="preserve">Severe downside case</t>
  </si>
  <si>
    <t xml:space="preserve">Significant stress: collections 5% weaker AND 15 days later; +5 inventory days; −5 payables days; +200bp; non-EUR −10%. No management actions (capex, buyback or supplier cuts) assumed.</t>
  </si>
  <si>
    <t xml:space="preserve">Liquidity buffer methodology</t>
  </si>
  <si>
    <t xml:space="preserve">Modelled minimum liquidity = Base weekly gross operating outflows × 1.10 stress uplift × 3 weeks' coverage + restricted cash. NOT Unilever's internal policy. Coverage of 1–6 weeks is tested on LIQUIDITY_BUFFER.</t>
  </si>
  <si>
    <t xml:space="preserve">Funding assumptions</t>
  </si>
  <si>
    <t xml:space="preserve">Shortfalls below the buffer are drawn on the disclosed undrawn committed facilities (USD 5.2bn + EUR 2.6bn), revolver-style: draw when below the buffer, repay when above. Modelled rate = disclosed 2025 average short-term borrowing rate (4.3%) + scenario shock. Not bank pricing.</t>
  </si>
  <si>
    <t xml:space="preserve">Surplus-cash assumptions</t>
  </si>
  <si>
    <t xml:space="preserve">Surplus = MAX(0, closing cash − buffer − uninvested headroom), invested in a short-term cash investment (modelled proxy) at the ECB deposit-rate proxy (2.00%), maturity ≤ 13 weeks.</t>
  </si>
  <si>
    <t xml:space="preserve">FX assumptions</t>
  </si>
  <si>
    <t xml:space="preserve">Currency allocation percentages: Illustrative modelling assumptions — not Unilever-disclosed operating cash-flow currency data. The scenario FX shock applies uniformly to non-EUR operating flows; financing flows are treated as EUR. Distinct from the €21.6bn net investment exposure.</t>
  </si>
  <si>
    <t xml:space="preserve">Optimisation objective</t>
  </si>
  <si>
    <t xml:space="preserve">Grid-based optimisation: candidate liquidity-buffer levels are evaluated against the stated model assumptions and constraints, and the lowest modelled treasury-cost outcome satisfying the liquidity constraint is identified. Detail: minimise 13-week modelled net treasury cost (funding cost − investment income) over a grid of buffer levels, subject to closing cash ≥ buffer (via funding), the buffer absorbing the severe-stress drain vs Base, and funding staying within committed facilities. The output is labelled 'model-selected buffer' and is not a policy recommendation. No Solver or Python yet.</t>
  </si>
  <si>
    <t xml:space="preserve">No circularity</t>
  </si>
  <si>
    <t xml:space="preserve">Interest on existing debt uses beginning-period debt. Funding cost and investment income are reported below the cash line, so cash does not feed back into interest.</t>
  </si>
  <si>
    <t xml:space="preserve">Classification</t>
  </si>
  <si>
    <t xml:space="preserve">Disclosed = Unilever / official data · Derived = calculated from disclosures · Model assumption = modeller's choice (ASSUMPTIONS only) · Model output = forecast result.</t>
  </si>
  <si>
    <t xml:space="preserve">Colour convention</t>
  </si>
  <si>
    <t xml:space="preserve">Blue = hard-coded assumption · Black = formula · Green = link to another sheet · Yellow fill = user input / scenario selector · Red = error or breached constraint.</t>
  </si>
  <si>
    <t xml:space="preserve">Logic map</t>
  </si>
  <si>
    <t xml:space="preserve">HISTORICAL_* → ASSUMPTIONS → LIQUIDITY_DRIVERS → 13W_FORECAST (engine) → LIQUIDITY_BUFFER / FUNDING / SURPLUS_CASH / FX_LIQUIDITY → OPTIMISATION → TREASURY_OUTPUT; SCENARIOS reruns the engine logic per scenario; STEP3_CHECKS tests every stage.</t>
  </si>
  <si>
    <t xml:space="preserve">Limitations</t>
  </si>
  <si>
    <t xml:space="preserve">• No disclosed weekly timing: profiles are even or month-end.  • Opening position is 31 Dec 2025; later interim data are not used.  • ~85% of cash sits in foreign subsidiaries, so not all surplus can be pooled; the investable share is a simplification.  • Currency allocation percentages are illustrative modelling assumptions, not Unilever-disclosed data.  • Debt maturities are spread evenly over 12 months, with no bond-level schedule.  • The next dividend (10 Apr 2026, secondary source) falls just outside the horizon.  • No management actions in stress cases.  • Interest and yields are accrued weekly on ACT/365 and not compounded.</t>
  </si>
  <si>
    <t xml:space="preserve">ASSUMPTIONS — EVERY STEP 3 ASSUMPTION ORIGINATES HERE</t>
  </si>
  <si>
    <t xml:space="preserve">Blue = hard-coded input. Active column follows the scenario selected on 13W_FORECAST. Class: Disclosed = Unilever/official data not in the v4 dataset; Derived = calculated from disclosures; Model assumption = modeller's choice.</t>
  </si>
  <si>
    <t xml:space="preserve">Assumption</t>
  </si>
  <si>
    <t xml:space="preserve">Base</t>
  </si>
  <si>
    <t xml:space="preserve">Downside</t>
  </si>
  <si>
    <t xml:space="preserve">Severe</t>
  </si>
  <si>
    <t xml:space="preserve">ACTIVE</t>
  </si>
  <si>
    <t xml:space="preserve">Unit</t>
  </si>
  <si>
    <t xml:space="preserve">Class</t>
  </si>
  <si>
    <t xml:space="preserve">Source / rationale</t>
  </si>
  <si>
    <t xml:space="preserve">A. Calendar, opening position and committed facilities</t>
  </si>
  <si>
    <t xml:space="preserve">Opening balance-sheet date</t>
  </si>
  <si>
    <t xml:space="preserve">date</t>
  </si>
  <si>
    <t xml:space="preserve">Disclosed</t>
  </si>
  <si>
    <t xml:space="preserve">Latest balance sheet in Step 2 (AR2025). Week 1 starts the following day.</t>
  </si>
  <si>
    <t xml:space="preserve">Days per forecast week</t>
  </si>
  <si>
    <t xml:space="preserve">days</t>
  </si>
  <si>
    <t xml:space="preserve">Model assumption</t>
  </si>
  <si>
    <t xml:space="preserve">Weekly buckets.</t>
  </si>
  <si>
    <t xml:space="preserve">Day-count basis for interest</t>
  </si>
  <si>
    <t xml:space="preserve">ACT/365 convention used for all funding and investment accruals.</t>
  </si>
  <si>
    <t xml:space="preserve">Cash restricted by FX / legal controls (YE2025)</t>
  </si>
  <si>
    <t xml:space="preserve">AR2025 treasury disclosure; dataset v4 'Raw Treasury Structure' (not in RAW_DATA). Treated as unavailable for group liquidity.</t>
  </si>
  <si>
    <t xml:space="preserve">Undrawn committed revolving facilities — USD</t>
  </si>
  <si>
    <t xml:space="preserve">USD m</t>
  </si>
  <si>
    <t xml:space="preserve">AR2025 Note 16A; dataset v4 'Raw Liquidity &amp; Debt'.</t>
  </si>
  <si>
    <t xml:space="preserve">Undrawn committed revolving facilities — EUR</t>
  </si>
  <si>
    <t xml:space="preserve">EUR/USD rate for converting USD facilities</t>
  </si>
  <si>
    <t xml:space="preserve">USD per €</t>
  </si>
  <si>
    <t xml:space="preserve">ECB euro reference rate, 31 Dec 2025: 1 EUR = 1.1750 USD (ECB daily reference-rate sheet; also published in the EU Official Journal, C/2026/44). Held constant over the horizon.</t>
  </si>
  <si>
    <t xml:space="preserve">B. Operating assumptions — revenue, collections and working capital</t>
  </si>
  <si>
    <t xml:space="preserve">Revenue growth vs 2025 continuing run-rate (annualised)</t>
  </si>
  <si>
    <t xml:space="preserve">%</t>
  </si>
  <si>
    <t xml:space="preserve">13-week horizon anchored to the 2025 continuing run-rate. No growth assumed; historical like-for-like growth (−3.8% 2025, +1.5% 2024) shown on LIQUIDITY_DRIVERS.</t>
  </si>
  <si>
    <t xml:space="preserve">Customer collections shock (level)</t>
  </si>
  <si>
    <t xml:space="preserve">Severe: collections 5% weaker (volume/price). Supplier payments are NOT reduced in response (conservative: no management action assumed).</t>
  </si>
  <si>
    <t xml:space="preserve">Additional collection delay</t>
  </si>
  <si>
    <t xml:space="preserve">2025 DSO = 35.1 days (derived). Downside +7 days (≈ +20%); Severe +15 days (≈ +43%). Cash tied up = daily collections × extra days, phased in day by day.</t>
  </si>
  <si>
    <t xml:space="preserve">Collections timing profile</t>
  </si>
  <si>
    <t xml:space="preserve">Even</t>
  </si>
  <si>
    <t xml:space="preserve">profile</t>
  </si>
  <si>
    <t xml:space="preserve">'Even' = annual/52 each week; 'Month-end' = annual/12 in weeks containing a month end. No disclosed weekly seasonality, so collections are flat.</t>
  </si>
  <si>
    <t xml:space="preserve">Additional inventory days (inventory build)</t>
  </si>
  <si>
    <t xml:space="preserve">2025 DIO = 55.1 days (derived). Severe: +5 days of cost of sales tied up in stock.</t>
  </si>
  <si>
    <t xml:space="preserve">Reduction in payables support (earlier supplier payment)</t>
  </si>
  <si>
    <t xml:space="preserve">2025 DPO = 149.8 days (derived; inflated by supplier financing of €2.7bn). Severe: −5 days, e.g. partial withdrawal of supplier-finance programmes.</t>
  </si>
  <si>
    <t xml:space="preserve">Supplier payment timing profile</t>
  </si>
  <si>
    <t xml:space="preserve">Supplier runs assumed weekly.</t>
  </si>
  <si>
    <t xml:space="preserve">Employee benefits expense — cash payroll proxy</t>
  </si>
  <si>
    <t xml:space="preserve">Employee benefits expense 2025, Unilever Form 20-F 2025 (XBRL ifrs-full:EmployeeBenefitsExpense). Not in dataset v4. Used as a modelling proxy for cash payroll; not a disclosed cash-payroll figure.</t>
  </si>
  <si>
    <t xml:space="preserve">Payroll timing profile</t>
  </si>
  <si>
    <t xml:space="preserve">Month-end</t>
  </si>
  <si>
    <t xml:space="preserve">Monthly payroll, paid in the week containing the month end.</t>
  </si>
  <si>
    <t xml:space="preserve">Tax cash payments vs run-rate</t>
  </si>
  <si>
    <t xml:space="preserve">×</t>
  </si>
  <si>
    <t xml:space="preserve">Tax unchanged in all scenarios (Step 3 brief).</t>
  </si>
  <si>
    <t xml:space="preserve">Tax payment timing profile</t>
  </si>
  <si>
    <t xml:space="preserve">Many jurisdictions; modelled as monthly instalments in month-end weeks.</t>
  </si>
  <si>
    <t xml:space="preserve">Capex vs run-rate</t>
  </si>
  <si>
    <t xml:space="preserve">Capex unchanged in all scenarios (Step 3 brief): no discretionary capex cuts assumed.</t>
  </si>
  <si>
    <t xml:space="preserve">Capex timing profile</t>
  </si>
  <si>
    <t xml:space="preserve">Other operating outflows timing profile</t>
  </si>
  <si>
    <t xml:space="preserve">Pension contributions and provision utilisation (2025 run-rate).</t>
  </si>
  <si>
    <t xml:space="preserve">Other operating inflows timing profile</t>
  </si>
  <si>
    <t xml:space="preserve">Dividends from JVs/associates (2025 run-rate).</t>
  </si>
  <si>
    <t xml:space="preserve">Asset / investment maturities over 13 weeks (net inflow)</t>
  </si>
  <si>
    <t xml:space="preserve">Other current financial assets (€1.1bn) assumed rolled over; no net maturity inflow. They stay in available liquidity.</t>
  </si>
  <si>
    <t xml:space="preserve">C. Interest and funding</t>
  </si>
  <si>
    <t xml:space="preserve">Interest-rate shock</t>
  </si>
  <si>
    <t xml:space="preserve">bp</t>
  </si>
  <si>
    <t xml:space="preserve">Applied to floating-rate debt and to new liquidity funding. AR2025 gives €47m per +100bp full-year sensitivity (derived check on LIQUIDITY_DRIVERS).</t>
  </si>
  <si>
    <t xml:space="preserve">Share of financial liabilities at fixed rate (2026)</t>
  </si>
  <si>
    <t xml:space="preserve">AR2025: expected liabilities fixed for 2026, after swaps, excl. leases (dataset v4 'Raw Risk &amp; FX').</t>
  </si>
  <si>
    <t xml:space="preserve">Interest on existing debt timing profile</t>
  </si>
  <si>
    <t xml:space="preserve">No coupon calendar in the dataset, so spread evenly.</t>
  </si>
  <si>
    <t xml:space="preserve">Modelled funding rate on liquidity drawings (before shock)</t>
  </si>
  <si>
    <t xml:space="preserve">Derived</t>
  </si>
  <si>
    <t xml:space="preserve">Anchored to Unilever's disclosed 2025 average short-term borrowing rate (AR2025 Note 16B). NOT actual facility or bank pricing.</t>
  </si>
  <si>
    <t xml:space="preserve">Maximum facility utilisation before breach flag</t>
  </si>
  <si>
    <t xml:space="preserve">Utilisation above this is flagged red and fails Check 7.</t>
  </si>
  <si>
    <t xml:space="preserve">D. Distributions and scheduled financing</t>
  </si>
  <si>
    <t xml:space="preserve">Dividend growth vs 2025 quarterly average</t>
  </si>
  <si>
    <t xml:space="preserve">2025 dividends paid ÷ 4. 2025 includes pre-demerger quarters, so this is an approximation.</t>
  </si>
  <si>
    <t xml:space="preserve">Next dividend payment date</t>
  </si>
  <si>
    <t xml:space="preserve">Q4 2025 dividend payable 10 Apr 2026 (secondary source: dividendregistry.com; confirm with Unilever). Falls just AFTER the 13-week window, so it does not enter the forecast unless this date is changed.</t>
  </si>
  <si>
    <t xml:space="preserve">Share buybacks vs 2025 run-rate</t>
  </si>
  <si>
    <t xml:space="preserve">2025 buybacks continued at the same pace in all scenarios (no management action assumed).</t>
  </si>
  <si>
    <t xml:space="preserve">Buyback timing profile</t>
  </si>
  <si>
    <t xml:space="preserve">Refinancing of scheduled debt maturities</t>
  </si>
  <si>
    <t xml:space="preserve">Maturing debt (current financial liabilities, spread evenly over 12 months) assumed refinanced at maturity. Liquidity gaps are met by the facility module, not here.</t>
  </si>
  <si>
    <t xml:space="preserve">Other financing flows over 13 weeks</t>
  </si>
  <si>
    <t xml:space="preserve">2025 'other financing' (−€1.1bn) includes demerger-related items and is not treated as recurring.</t>
  </si>
  <si>
    <t xml:space="preserve">E. Surplus-cash investment</t>
  </si>
  <si>
    <t xml:space="preserve">Surplus-cash investment yield (annual)</t>
  </si>
  <si>
    <t xml:space="preserve">Proxy: ECB deposit facility rate 2.00% (unchanged at the 5 Feb 2026 decision). Model assumption for a short-term cash investment (modelled proxy), not Unilever pricing.</t>
  </si>
  <si>
    <t xml:space="preserve">Share of surplus that is investable</t>
  </si>
  <si>
    <t xml:space="preserve">Simplification: ~85% of group cash sits in foreign subsidiaries (AR2025), so not all surplus can be pooled centrally. See limitations.</t>
  </si>
  <si>
    <t xml:space="preserve">Maximum investment maturity</t>
  </si>
  <si>
    <t xml:space="preserve">weeks</t>
  </si>
  <si>
    <t xml:space="preserve">Instruments must mature within the 13-week horizon (documentation; accrual is weekly).</t>
  </si>
  <si>
    <t xml:space="preserve">Operating headroom kept uninvested above the buffer</t>
  </si>
  <si>
    <t xml:space="preserve">Buffer is already sized on stressed outflows; raise this to hold extra uninvested cash.</t>
  </si>
  <si>
    <t xml:space="preserve">F. FX liquidity</t>
  </si>
  <si>
    <t xml:space="preserve">Non-EUR currencies vs EUR (uniform shock)</t>
  </si>
  <si>
    <t xml:space="preserve">Negative = EUR strengthens, so non-EUR operating flows are worth less in EUR. Applied to operating inflows and outflows only (financing is EUR-denominated).</t>
  </si>
  <si>
    <t xml:space="preserve">Operating inflows — EUR share</t>
  </si>
  <si>
    <t xml:space="preserve">Illustrative modelling assumptions — not Unilever-disclosed operating cash-flow currency data. Unilever does not disclose cash flows by currency; shares loosely reflect its geographic mix (Europe ~20%, North America ~20%, emerging markets ~60%). Replace if better data is available.</t>
  </si>
  <si>
    <t xml:space="preserve">Operating inflows — GBP share</t>
  </si>
  <si>
    <t xml:space="preserve">Operating inflows — USD share</t>
  </si>
  <si>
    <t xml:space="preserve">Operating inflows — other currencies share</t>
  </si>
  <si>
    <t xml:space="preserve">Operating outflows — EUR share</t>
  </si>
  <si>
    <t xml:space="preserve">Operating outflows — GBP share</t>
  </si>
  <si>
    <t xml:space="preserve">Operating outflows — USD share</t>
  </si>
  <si>
    <t xml:space="preserve">Operating outflows — other currencies share</t>
  </si>
  <si>
    <t xml:space="preserve">Single-currency stress size (FX_LIQUIDITY table)</t>
  </si>
  <si>
    <t xml:space="preserve">±5% move of each currency against EUR (Step 3 brief).</t>
  </si>
  <si>
    <t xml:space="preserve">G. Minimum liquidity buffer methodology</t>
  </si>
  <si>
    <t xml:space="preserve">Coverage period</t>
  </si>
  <si>
    <t xml:space="preserve">Buffer covers 3 weeks of stressed gross operating outflows. Modelled buffer, NOT Unilever's internal policy. Alternatives of 1–6 weeks are tested on LIQUIDITY_BUFFER.</t>
  </si>
  <si>
    <t xml:space="preserve">Stress uplift on weekly gross outflows</t>
  </si>
  <si>
    <t xml:space="preserve">+10% on the base run-rate of weekly outflows.</t>
  </si>
  <si>
    <t xml:space="preserve">H. Optimisation and sensitivity grids</t>
  </si>
  <si>
    <t xml:space="preserve">Buffer grid — first level</t>
  </si>
  <si>
    <t xml:space="preserve">Buffer levels tested on OPTIMISATION.</t>
  </si>
  <si>
    <t xml:space="preserve">Buffer grid — step</t>
  </si>
  <si>
    <t xml:space="preserve">Funding-rate grid — first level</t>
  </si>
  <si>
    <t xml:space="preserve">Funding-rate columns in the sensitivity tables.</t>
  </si>
  <si>
    <t xml:space="preserve">Funding-rate grid — step</t>
  </si>
  <si>
    <t xml:space="preserve">Collection-delay grid — first level</t>
  </si>
  <si>
    <t xml:space="preserve">Collection-delay rows in sensitivity 2.</t>
  </si>
  <si>
    <t xml:space="preserve">Collection-delay grid — step</t>
  </si>
  <si>
    <t xml:space="preserve">Buffer increment for the findings box</t>
  </si>
  <si>
    <t xml:space="preserve">Used to state the cost of holding a larger buffer.</t>
  </si>
  <si>
    <t xml:space="preserve">Check tolerance</t>
  </si>
  <si>
    <t xml:space="preserve">Step 3 checks are exact formula reconciliations, so the tolerance is tight.</t>
  </si>
  <si>
    <t xml:space="preserve">Scenario columns must stay labelled exactly Base / Downside / Severe (the selector matches on them).</t>
  </si>
  <si>
    <t xml:space="preserve">LIQUIDITY_DRIVERS — FROM HISTORICAL FIGURES TO FORECAST DRIVERS</t>
  </si>
  <si>
    <t xml:space="preserve">Historical columns link to Step 2 (continuing basis; balance sheet has no 2023 Continuing). Forecast columns are annual drivers for each scenario; ACTIVE follows the selector.</t>
  </si>
  <si>
    <t xml:space="preserve">Revenue and collections</t>
  </si>
  <si>
    <t xml:space="preserve">Revenue (turnover)</t>
  </si>
  <si>
    <t xml:space="preserve">Disclosed (via Step 2)</t>
  </si>
  <si>
    <t xml:space="preserve">Historical revenue growth (like-for-like)</t>
  </si>
  <si>
    <t xml:space="preserve">Selected forecast growth</t>
  </si>
  <si>
    <t xml:space="preserve">Forecast annual revenue</t>
  </si>
  <si>
    <t xml:space="preserve">Model output</t>
  </si>
  <si>
    <t xml:space="preserve">Collections shock</t>
  </si>
  <si>
    <t xml:space="preserve">Forecast annual customer collections (run-rate)</t>
  </si>
  <si>
    <t xml:space="preserve">Collections are NOT assumed equal to revenue by default: the shock and the delay below adjust them.</t>
  </si>
  <si>
    <t xml:space="preserve">Weekly customer collections (even profile)</t>
  </si>
  <si>
    <t xml:space="preserve">Daily customer collections</t>
  </si>
  <si>
    <t xml:space="preserve">Operating cash flow and operating payments</t>
  </si>
  <si>
    <t xml:space="preserve">OCF conversion (OCF ÷ operating profit)</t>
  </si>
  <si>
    <t xml:space="preserve">OCF margin (OCF ÷ revenue)</t>
  </si>
  <si>
    <t xml:space="preserve">Forecast annual OCF (selected margin = 2025)</t>
  </si>
  <si>
    <t xml:space="preserve">Memo: the weekly engine builds OCF bottom-up; at Base this equals 2025 OCF.</t>
  </si>
  <si>
    <t xml:space="preserve">Cash operating payments (revenue − OCF), 2025</t>
  </si>
  <si>
    <t xml:space="preserve">Everything collected but not retained as operating cash flow in 2025.</t>
  </si>
  <si>
    <t xml:space="preserve">of which employee benefits expense — cash payroll proxy</t>
  </si>
  <si>
    <t xml:space="preserve">of which pensions and provision payments</t>
  </si>
  <si>
    <t xml:space="preserve">2025 'pensions less payments' + 'provisions less payments' (cash-flow statement).</t>
  </si>
  <si>
    <t xml:space="preserve">of which supplier and other operating payments (residual)</t>
  </si>
  <si>
    <t xml:space="preserve">Forecast annual supplier payments</t>
  </si>
  <si>
    <t xml:space="preserve">Scales with revenue growth, NOT with the collections shock (conservative).</t>
  </si>
  <si>
    <t xml:space="preserve">Forecast annual payroll (employee benefits expense proxy)</t>
  </si>
  <si>
    <t xml:space="preserve">Fixed in the short term.</t>
  </si>
  <si>
    <t xml:space="preserve">Forecast annual pensions and provision payments</t>
  </si>
  <si>
    <t xml:space="preserve">Dividends from JVs, associates and other investments</t>
  </si>
  <si>
    <t xml:space="preserve">Forecast annual other operating inflows</t>
  </si>
  <si>
    <t xml:space="preserve">Working capital</t>
  </si>
  <si>
    <t xml:space="preserve">Inventories (year-end)</t>
  </si>
  <si>
    <t xml:space="preserve">No 2023 Continuing balance sheet.</t>
  </si>
  <si>
    <t xml:space="preserve">Trade receivables (year-end)</t>
  </si>
  <si>
    <t xml:space="preserve">Trade payables (year-end)</t>
  </si>
  <si>
    <t xml:space="preserve">DSO (trade receivables ÷ revenue × 365)</t>
  </si>
  <si>
    <t xml:space="preserve">DIO (inventories ÷ cost of sales × 365)</t>
  </si>
  <si>
    <t xml:space="preserve">DPO (trade payables ÷ cost of sales × 365)</t>
  </si>
  <si>
    <t xml:space="preserve">Inflated by supplier financing (€2.7bn at YE2025).</t>
  </si>
  <si>
    <t xml:space="preserve">Change in working capital (cash-flow statement)</t>
  </si>
  <si>
    <t xml:space="preserve">Simplified balance-sheet WC movement (Step 2)</t>
  </si>
  <si>
    <t xml:space="preserve">2025 includes the Ice Cream demerger effect.</t>
  </si>
  <si>
    <t xml:space="preserve">Forecast daily cost of sales</t>
  </si>
  <si>
    <t xml:space="preserve">Additional inventory days</t>
  </si>
  <si>
    <t xml:space="preserve">Reduction in payables days</t>
  </si>
  <si>
    <t xml:space="preserve">Cash tied up — receivables (daily collections × delay)</t>
  </si>
  <si>
    <t xml:space="preserve">Cash tied up — inventory (daily cost of sales × days)</t>
  </si>
  <si>
    <t xml:space="preserve">Cash lost — payables support (daily cost of sales × days)</t>
  </si>
  <si>
    <t xml:space="preserve">Incremental working-capital cash requirement</t>
  </si>
  <si>
    <t xml:space="preserve">Fully felt once the extra days have elapsed (within 3 weeks at Severe).</t>
  </si>
  <si>
    <t xml:space="preserve">Capex</t>
  </si>
  <si>
    <t xml:space="preserve">Capex ÷ revenue</t>
  </si>
  <si>
    <t xml:space="preserve">Forecast annual capex (2025 intensity × forecast revenue)</t>
  </si>
  <si>
    <t xml:space="preserve">PBT margin</t>
  </si>
  <si>
    <t xml:space="preserve">Cash tax ÷ tax charge</t>
  </si>
  <si>
    <t xml:space="preserve">Forecast tax rate (2025 ETR)</t>
  </si>
  <si>
    <t xml:space="preserve">Forecast annual PBT (2025 margin × forecast revenue)</t>
  </si>
  <si>
    <t xml:space="preserve">Forecast annual tax cash payments</t>
  </si>
  <si>
    <t xml:space="preserve">PBT × ETR × 2025 cash-tax ratio. At Base this equals 2025 tax paid.</t>
  </si>
  <si>
    <t xml:space="preserve">Interest and debt</t>
  </si>
  <si>
    <t xml:space="preserve">Total financial liabilities (year-end)</t>
  </si>
  <si>
    <t xml:space="preserve">Current financial liabilities (year-end)</t>
  </si>
  <si>
    <t xml:space="preserve">Implied average interest rate (interest paid ÷ average liabilities)</t>
  </si>
  <si>
    <t xml:space="preserve">Floating-rate liabilities (total × (1 − fixed share))</t>
  </si>
  <si>
    <t xml:space="preserve">Approximation: the disclosed fixed share excludes leases.</t>
  </si>
  <si>
    <t xml:space="preserve">Memo: implied +100bp annual cost (compare AR2025: €47m)</t>
  </si>
  <si>
    <t xml:space="preserve">Cross-check only. Gross floating debt overstates Unilever's net sensitivity, which nets floating-rate cash.</t>
  </si>
  <si>
    <t xml:space="preserve">Forecast annual interest on existing debt</t>
  </si>
  <si>
    <t xml:space="preserve">Based on existing (beginning-period) debt, so there is no circularity with new funding.</t>
  </si>
  <si>
    <t xml:space="preserve">Funding rate on liquidity drawings (base + shock)</t>
  </si>
  <si>
    <t xml:space="preserve">Scheduled debt maturities over the next 12 months</t>
  </si>
  <si>
    <t xml:space="preserve">Current financial liabilities at YE2025 (includes lease principal and short-term debt), assumed to mature evenly.</t>
  </si>
  <si>
    <t xml:space="preserve">Distributions</t>
  </si>
  <si>
    <t xml:space="preserve">Forecast quarterly dividend payment</t>
  </si>
  <si>
    <t xml:space="preserve">Forecast annual share buybacks</t>
  </si>
  <si>
    <t xml:space="preserve">Liquidity buffer input</t>
  </si>
  <si>
    <t xml:space="preserve">Weekly gross operating outflows (run-rate)</t>
  </si>
  <si>
    <t xml:space="preserve">Suppliers + payroll + pensions/provisions + tax + capex + interest. The buffer uses the BASE column, so the buffer does not move with the scenario.</t>
  </si>
  <si>
    <t xml:space="preserve">13W_FORECAST — 13-WEEK CASH FORECAST ENGINE (MODEL OUTPUT)</t>
  </si>
  <si>
    <t xml:space="preserve">Forecast cash flows are model assumptions and model outputs. They are not Unilever confidential treasury forecasts. € million; inflows +, outflows −.</t>
  </si>
  <si>
    <t xml:space="preserve">Selected scenario</t>
  </si>
  <si>
    <t xml:space="preserve">← dropdown: Base / Downside / Severe. Every Step 3 sheet follows this cell.</t>
  </si>
  <si>
    <t xml:space="preserve">Calendar</t>
  </si>
  <si>
    <t xml:space="preserve">13-wk total</t>
  </si>
  <si>
    <t xml:space="preserve">W1</t>
  </si>
  <si>
    <t xml:space="preserve">W2</t>
  </si>
  <si>
    <t xml:space="preserve">W3</t>
  </si>
  <si>
    <t xml:space="preserve">W4</t>
  </si>
  <si>
    <t xml:space="preserve">W5</t>
  </si>
  <si>
    <t xml:space="preserve">W6</t>
  </si>
  <si>
    <t xml:space="preserve">W7</t>
  </si>
  <si>
    <t xml:space="preserve">W8</t>
  </si>
  <si>
    <t xml:space="preserve">W9</t>
  </si>
  <si>
    <t xml:space="preserve">W10</t>
  </si>
  <si>
    <t xml:space="preserve">W11</t>
  </si>
  <si>
    <t xml:space="preserve">W12</t>
  </si>
  <si>
    <t xml:space="preserve">W13</t>
  </si>
  <si>
    <t xml:space="preserve">Class / note</t>
  </si>
  <si>
    <t xml:space="preserve">Week</t>
  </si>
  <si>
    <t xml:space="preserve">Start date</t>
  </si>
  <si>
    <t xml:space="preserve">Week 1 starts the day after the balance-sheet date.</t>
  </si>
  <si>
    <t xml:space="preserve">End date</t>
  </si>
  <si>
    <t xml:space="preserve">Month-end week (1 = contains a month end)</t>
  </si>
  <si>
    <t xml:space="preserve">Drives month-end payroll and tax payments.</t>
  </si>
  <si>
    <t xml:space="preserve">Scenario</t>
  </si>
  <si>
    <t xml:space="preserve">Chart label</t>
  </si>
  <si>
    <t xml:space="preserve">Opening liquidity position (31 Dec 2025) — kept separate, not lumped into 'cash'</t>
  </si>
  <si>
    <t xml:space="preserve">Cash &amp; cash equivalents — balance sheet (opening cash)</t>
  </si>
  <si>
    <t xml:space="preserve">Disclosed (via Step 2): €3,941m. This is the opening cash.</t>
  </si>
  <si>
    <t xml:space="preserve">Memo: cash per cash-flow statement (not used)</t>
  </si>
  <si>
    <t xml:space="preserve">€3,870m is net of overdrafts plus a held-for-sale adjustment; it is not the opening balance.</t>
  </si>
  <si>
    <t xml:space="preserve">Disclosed (via Step 2). Liquid, but not cash.</t>
  </si>
  <si>
    <t xml:space="preserve">Restricted cash (FX / legal controls)</t>
  </si>
  <si>
    <t xml:space="preserve">Disclosed. Included in cash but not available to the group.</t>
  </si>
  <si>
    <t xml:space="preserve">Available liquidity (cash + other current financial assets − restricted)</t>
  </si>
  <si>
    <t xml:space="preserve">Derived.</t>
  </si>
  <si>
    <t xml:space="preserve">Undrawn committed facilities (EUR equivalent)</t>
  </si>
  <si>
    <t xml:space="preserve">Disclosed amounts; USD converted at the 31 Dec 2025 ECB rate.</t>
  </si>
  <si>
    <t xml:space="preserve">Total liquidity including undrawn facilities</t>
  </si>
  <si>
    <t xml:space="preserve">Model output. W1 = balance-sheet cash; later weeks = prior week's closing cash.</t>
  </si>
  <si>
    <t xml:space="preserve">Inflows</t>
  </si>
  <si>
    <t xml:space="preserve">Customer collections (run-rate)</t>
  </si>
  <si>
    <t xml:space="preserve">Model output: forecast annual collections ÷ 52 (profile per ASSUMPTIONS).</t>
  </si>
  <si>
    <t xml:space="preserve">Collection delay — cash tied up</t>
  </si>
  <si>
    <t xml:space="preserve">Model output: daily collections × extra days, phased in day by day.</t>
  </si>
  <si>
    <t xml:space="preserve">Other operating inflows (JV / associate dividends)</t>
  </si>
  <si>
    <t xml:space="preserve">Model output.</t>
  </si>
  <si>
    <t xml:space="preserve">Asset / investment maturities</t>
  </si>
  <si>
    <t xml:space="preserve">Model assumption: rolled over (0).</t>
  </si>
  <si>
    <t xml:space="preserve">Total inflows</t>
  </si>
  <si>
    <t xml:space="preserve">Operating outflows</t>
  </si>
  <si>
    <t xml:space="preserve">Supplier and other operating payments (run-rate)</t>
  </si>
  <si>
    <t xml:space="preserve">WC stress — inventory build</t>
  </si>
  <si>
    <t xml:space="preserve">WC stress — reduced payables support</t>
  </si>
  <si>
    <t xml:space="preserve">Payroll (employee benefits expense — cash payroll proxy)</t>
  </si>
  <si>
    <t xml:space="preserve">Interest on existing debt (incl. floating-rate shock)</t>
  </si>
  <si>
    <t xml:space="preserve">Other operating outflows (pensions, provisions)</t>
  </si>
  <si>
    <t xml:space="preserve">Total operating outflows</t>
  </si>
  <si>
    <t xml:space="preserve">FX impact on non-EUR operating flows</t>
  </si>
  <si>
    <t xml:space="preserve">Model output: shock × (non-EUR share of inflows + non-EUR share of outflows). Detail on FX_LIQUIDITY.</t>
  </si>
  <si>
    <t xml:space="preserve">Operating net cash flow</t>
  </si>
  <si>
    <t xml:space="preserve">Financing</t>
  </si>
  <si>
    <t xml:space="preserve">Debt drawdowns — scheduled refinancing</t>
  </si>
  <si>
    <t xml:space="preserve">Debt repayments — scheduled maturities</t>
  </si>
  <si>
    <t xml:space="preserve">Other financing</t>
  </si>
  <si>
    <t xml:space="preserve">Net scheduled financing</t>
  </si>
  <si>
    <t xml:space="preserve">Closing cash before liquidity funding</t>
  </si>
  <si>
    <t xml:space="preserve">Model output. 13-wk column shows the minimum.</t>
  </si>
  <si>
    <t xml:space="preserve">Minimum liquidity buffer</t>
  </si>
  <si>
    <t xml:space="preserve">From LIQUIDITY_BUFFER methodology.</t>
  </si>
  <si>
    <t xml:space="preserve">Debt drawdowns — liquidity facility</t>
  </si>
  <si>
    <t xml:space="preserve">Model output: draws exactly enough to restore the buffer.</t>
  </si>
  <si>
    <t xml:space="preserve">Debt repayments — liquidity facility</t>
  </si>
  <si>
    <t xml:space="preserve">Model output: repays the outstanding drawing once cash is above the buffer.</t>
  </si>
  <si>
    <t xml:space="preserve">Net financing cash flow</t>
  </si>
  <si>
    <t xml:space="preserve">Net cash movement</t>
  </si>
  <si>
    <t xml:space="preserve">Closing cash</t>
  </si>
  <si>
    <t xml:space="preserve">Model output = opening + net movement. Never typed.</t>
  </si>
  <si>
    <t xml:space="preserve">Memo</t>
  </si>
  <si>
    <t xml:space="preserve">Liquidity facility drawn (outstanding)</t>
  </si>
  <si>
    <t xml:space="preserve">13-wk column shows the peak.</t>
  </si>
  <si>
    <t xml:space="preserve">Cumulative cash before any liquidity funding</t>
  </si>
  <si>
    <t xml:space="preserve">Closed-form path used by OPTIMISATION and the sensitivities. Check 11 proves drawn = MAX(0, buffer − this).</t>
  </si>
  <si>
    <t xml:space="preserve">SCENARIOS — THREE SCENARIOS, ONE ENGINE</t>
  </si>
  <si>
    <t xml:space="preserve">Driver table links to ASSUMPTIONS. The results block recomputes weekly net cash for each scenario with the SAME formula generator as 13W_FORECAST; Check 12 reconciles it to the engine.</t>
  </si>
  <si>
    <t xml:space="preserve">Description</t>
  </si>
  <si>
    <t xml:space="preserve">Revenue / collections level</t>
  </si>
  <si>
    <t xml:space="preserve">Shock to customer collections.</t>
  </si>
  <si>
    <t xml:space="preserve">Revenue growth (annualised)</t>
  </si>
  <si>
    <t xml:space="preserve">Collection delay</t>
  </si>
  <si>
    <t xml:space="preserve">Extra days before customers pay.</t>
  </si>
  <si>
    <t xml:space="preserve">Supplier payments (reduced payables support)</t>
  </si>
  <si>
    <t xml:space="preserve">Suppliers paid earlier.</t>
  </si>
  <si>
    <t xml:space="preserve">Working capital — inventory build</t>
  </si>
  <si>
    <t xml:space="preserve">Unchanged in all scenarios.</t>
  </si>
  <si>
    <t xml:space="preserve">Interest rate</t>
  </si>
  <si>
    <t xml:space="preserve">Floating-rate debt and new funding.</t>
  </si>
  <si>
    <t xml:space="preserve">FX (non-EUR vs EUR)</t>
  </si>
  <si>
    <t xml:space="preserve">Negative = EUR strengthens.</t>
  </si>
  <si>
    <t xml:space="preserve">Scenario results — weekly net cash before liquidity funding (same generator as the engine)</t>
  </si>
  <si>
    <t xml:space="preserve">Base — weekly net cash flow (operating + scheduled financing)</t>
  </si>
  <si>
    <t xml:space="preserve">Base — cumulative cash before liquidity funding</t>
  </si>
  <si>
    <t xml:space="preserve">13-wk column = minimum.</t>
  </si>
  <si>
    <t xml:space="preserve">Downside — weekly net cash flow (operating + scheduled financing)</t>
  </si>
  <si>
    <t xml:space="preserve">Downside — cumulative cash before liquidity funding</t>
  </si>
  <si>
    <t xml:space="preserve">Severe — weekly net cash flow (operating + scheduled financing)</t>
  </si>
  <si>
    <t xml:space="preserve">Severe — cumulative cash before liquidity funding</t>
  </si>
  <si>
    <t xml:space="preserve">Selected scenario — cumulative cash (INDEX of the three rows above)</t>
  </si>
  <si>
    <t xml:space="preserve">Must equal 13W_FORECAST memo row (Check 12).</t>
  </si>
  <si>
    <t xml:space="preserve">Severe-stress drain vs Base (used by OPTIMISATION)</t>
  </si>
  <si>
    <t xml:space="preserve">Base − Severe cumulative cash</t>
  </si>
  <si>
    <t xml:space="preserve">13-wk column = peak drain.</t>
  </si>
  <si>
    <t xml:space="preserve">Driver attribution — 13-week cash impact vs Base (first-order)</t>
  </si>
  <si>
    <t xml:space="preserve">Collections level</t>
  </si>
  <si>
    <t xml:space="preserve">Inventory build</t>
  </si>
  <si>
    <t xml:space="preserve">Reduced payables support</t>
  </si>
  <si>
    <t xml:space="preserve">FX and interaction effects (residual)</t>
  </si>
  <si>
    <t xml:space="preserve">Residual so the attribution sums exactly to the total.</t>
  </si>
  <si>
    <t xml:space="preserve">Total 13-week cash impact vs Base</t>
  </si>
  <si>
    <t xml:space="preserve">Main driver (largest cash drain)</t>
  </si>
  <si>
    <t xml:space="preserve">Reverse stress helper — total collection delay (days) at which funding is first needed, by week (methodology buffer)</t>
  </si>
  <si>
    <t xml:space="preserve">Minimum</t>
  </si>
  <si>
    <t xml:space="preserve">Base — delay that brings cash to the buffer</t>
  </si>
  <si>
    <t xml:space="preserve">99,999 = cannot bind in that week within the horizon. Solves cumulative cash(delay) = buffer.</t>
  </si>
  <si>
    <t xml:space="preserve">Downside — delay that brings cash to the buffer</t>
  </si>
  <si>
    <t xml:space="preserve">Severe — delay that brings cash to the buffer</t>
  </si>
  <si>
    <t xml:space="preserve">LIQUIDITY_BUFFER — MODELLED MINIMUM LIQUIDITY AND HEADROOM</t>
  </si>
  <si>
    <t xml:space="preserve">Modelled minimum liquidity buffer: a transparent methodology, NOT Unilever's internal treasury policy.</t>
  </si>
  <si>
    <t xml:space="preserve">Methodology: buffer = stressed weekly gross operating outflows × coverage weeks + restricted cash</t>
  </si>
  <si>
    <t xml:space="preserve">Weekly gross operating outflows — Base run-rate</t>
  </si>
  <si>
    <t xml:space="preserve">Derived (LIQUIDITY_DRIVERS, Base column).</t>
  </si>
  <si>
    <t xml:space="preserve">Stress uplift</t>
  </si>
  <si>
    <t xml:space="preserve">Model assumption.</t>
  </si>
  <si>
    <t xml:space="preserve">Stressed weekly outflows</t>
  </si>
  <si>
    <t xml:space="preserve">Coverage period (weeks)</t>
  </si>
  <si>
    <t xml:space="preserve">Restricted cash (not usable, so added on top)</t>
  </si>
  <si>
    <t xml:space="preserve">Disclosed.</t>
  </si>
  <si>
    <t xml:space="preserve">Modelled minimum liquidity buffer</t>
  </si>
  <si>
    <t xml:space="preserve">Model output. Used by every Step 3 sheet.</t>
  </si>
  <si>
    <t xml:space="preserve">Alternative coverage periods (selected scenario)</t>
  </si>
  <si>
    <t xml:space="preserve">Coverage (weeks)</t>
  </si>
  <si>
    <t xml:space="preserve">Buffer €m</t>
  </si>
  <si>
    <t xml:space="preserve">Min cash before funding</t>
  </si>
  <si>
    <t xml:space="preserve">Min headroom vs buffer</t>
  </si>
  <si>
    <t xml:space="preserve">Weeks below buffer</t>
  </si>
  <si>
    <t xml:space="preserve">Peak funding need</t>
  </si>
  <si>
    <t xml:space="preserve">13-wk funding cost</t>
  </si>
  <si>
    <t xml:space="preserve">Coverage 1–6 weeks is an index, not an assumption. The row matching the ASSUMPTIONS coverage period gives the buffer in use.</t>
  </si>
  <si>
    <t xml:space="preserve">Metric (€m)</t>
  </si>
  <si>
    <t xml:space="preserve">13-wk</t>
  </si>
  <si>
    <t xml:space="preserve">Minimum liquidity</t>
  </si>
  <si>
    <t xml:space="preserve">Liquidity surplus / (deficit) before funding</t>
  </si>
  <si>
    <t xml:space="preserve">Formula: closing cash before funding − minimum liquidity. Negative = deficit.</t>
  </si>
  <si>
    <t xml:space="preserve">Closing cash after liquidity funding</t>
  </si>
  <si>
    <t xml:space="preserve">Undrawn committed facilities remaining</t>
  </si>
  <si>
    <t xml:space="preserve">Total available liquidity</t>
  </si>
  <si>
    <t xml:space="preserve">Cash + other current financial assets − restricted cash + undrawn facilities remaining.</t>
  </si>
  <si>
    <t xml:space="preserve">Liquidity headroom</t>
  </si>
  <si>
    <t xml:space="preserve">Formula: closing cash + available facility − minimum liquidity.</t>
  </si>
  <si>
    <t xml:space="preserve">Flag</t>
  </si>
  <si>
    <t xml:space="preserve">FUNDING — REQUIREMENT, UTILISATION AND COST (MODEL OUTPUT)</t>
  </si>
  <si>
    <t xml:space="preserve">Funding rates are model assumptions anchored to disclosed data. They are not Unilever's bank or facility pricing.</t>
  </si>
  <si>
    <t xml:space="preserve">Funding source</t>
  </si>
  <si>
    <t xml:space="preserve">Available €m</t>
  </si>
  <si>
    <t xml:space="preserve">Cost (annual)</t>
  </si>
  <si>
    <t xml:space="preserve">Maturity</t>
  </si>
  <si>
    <t xml:space="preserve">Scenario use</t>
  </si>
  <si>
    <t xml:space="preserve">Cash above the buffer (opening)</t>
  </si>
  <si>
    <t xml:space="preserve">On demand</t>
  </si>
  <si>
    <t xml:space="preserve">Undrawn committed facilities (USD 5.2bn + EUR 2.6bn)</t>
  </si>
  <si>
    <t xml:space="preserve">Committed RCF</t>
  </si>
  <si>
    <t xml:space="preserve">Short-term borrowing (commercial paper)</t>
  </si>
  <si>
    <t xml:space="preserve">Not modelled</t>
  </si>
  <si>
    <t xml:space="preserve">&lt; 1 year</t>
  </si>
  <si>
    <t xml:space="preserve">Other funding (term debt issuance)</t>
  </si>
  <si>
    <t xml:space="preserve">&gt; 1 year</t>
  </si>
  <si>
    <t xml:space="preserve">Modelled funding rate (active scenario)</t>
  </si>
  <si>
    <t xml:space="preserve">Unilever 2025 average short-term borrowing rate (4.3%, disclosed) + scenario shock. Model assumption.</t>
  </si>
  <si>
    <t xml:space="preserve">Pre-funding liquidity (closing cash before funding − minimum liquidity)</t>
  </si>
  <si>
    <t xml:space="preserve">Funding required this week</t>
  </si>
  <si>
    <t xml:space="preserve">Formula: ABS(MIN(0, pre-funding liquidity)); drawn on the facility.</t>
  </si>
  <si>
    <t xml:space="preserve">Funding outstanding (cumulative)</t>
  </si>
  <si>
    <t xml:space="preserve">13-wk column = peak.</t>
  </si>
  <si>
    <t xml:space="preserve">Facility utilisation</t>
  </si>
  <si>
    <t xml:space="preserve">Capacity flag</t>
  </si>
  <si>
    <t xml:space="preserve">Funding cost</t>
  </si>
  <si>
    <t xml:space="preserve">Formula: funding drawn × annual rate × 7/365. Reported below the cash line (no circularity).</t>
  </si>
  <si>
    <t xml:space="preserve">Total 13-week funding cost</t>
  </si>
  <si>
    <t xml:space="preserve">Peak funding requirement</t>
  </si>
  <si>
    <t xml:space="preserve">Maximum facility utilisation</t>
  </si>
  <si>
    <t xml:space="preserve">Weeks with capacity breach</t>
  </si>
  <si>
    <t xml:space="preserve">SURPLUS_CASH — INVESTABLE SURPLUS AND INVESTMENT INCOME (MODEL OUTPUT)</t>
  </si>
  <si>
    <t xml:space="preserve">Investment yield is a model assumption (ECB deposit-rate proxy), not Unilever's deposit pricing.</t>
  </si>
  <si>
    <t xml:space="preserve">Instrument (model assumption)</t>
  </si>
  <si>
    <t xml:space="preserve">Yield</t>
  </si>
  <si>
    <t xml:space="preserve">Max maturity (weeks)</t>
  </si>
  <si>
    <t xml:space="preserve">Investable share</t>
  </si>
  <si>
    <t xml:space="preserve">Short-term cash investment — modelled proxy</t>
  </si>
  <si>
    <t xml:space="preserve">Closing cash after funding</t>
  </si>
  <si>
    <t xml:space="preserve">Operating headroom kept uninvested</t>
  </si>
  <si>
    <t xml:space="preserve">Surplus cash</t>
  </si>
  <si>
    <t xml:space="preserve">Formula: MAX(0, closing cash − minimum liquidity − headroom). 13-wk column = peak.</t>
  </si>
  <si>
    <t xml:space="preserve">Invested surplus</t>
  </si>
  <si>
    <t xml:space="preserve">Investment income</t>
  </si>
  <si>
    <t xml:space="preserve">Formula: invested surplus × annual yield × 7/365. Reported below the cash line.</t>
  </si>
  <si>
    <t xml:space="preserve">13-week investment income</t>
  </si>
  <si>
    <t xml:space="preserve">Average weekly surplus cash</t>
  </si>
  <si>
    <t xml:space="preserve">Peak surplus cash</t>
  </si>
  <si>
    <t xml:space="preserve">FX_LIQUIDITY — 13-WEEK OPERATING CASH BY CURRENCY</t>
  </si>
  <si>
    <t xml:space="preserve">Treasury view: does an FX move change the 13-week cash requirement? Currency allocation percentages: Illustrative modelling assumptions — not Unilever-disclosed operating cash-flow currency data.</t>
  </si>
  <si>
    <t xml:space="preserve">Currency</t>
  </si>
  <si>
    <t xml:space="preserve">Outflows</t>
  </si>
  <si>
    <t xml:space="preserve">Net</t>
  </si>
  <si>
    <t xml:space="preserve">FX stress (active)</t>
  </si>
  <si>
    <t xml:space="preserve">Stressed liquidity</t>
  </si>
  <si>
    <t xml:space="preserve">EUR-equivalent impact</t>
  </si>
  <si>
    <t xml:space="preserve">EUR</t>
  </si>
  <si>
    <t xml:space="preserve">GBP</t>
  </si>
  <si>
    <t xml:space="preserve">USD</t>
  </si>
  <si>
    <t xml:space="preserve">Other</t>
  </si>
  <si>
    <t xml:space="preserve">Total</t>
  </si>
  <si>
    <t xml:space="preserve">Memo: FX impact in 13W_FORECAST</t>
  </si>
  <si>
    <t xml:space="preserve">Memo: shares add to 100%?</t>
  </si>
  <si>
    <t xml:space="preserve">Single-currency stress: EUR-equivalent change in 13-week net liquidity</t>
  </si>
  <si>
    <t xml:space="preserve">Net (13-wk)</t>
  </si>
  <si>
    <t xml:space="preserve">Currency +step</t>
  </si>
  <si>
    <t xml:space="preserve">Currency −step</t>
  </si>
  <si>
    <t xml:space="preserve">Base currency</t>
  </si>
  <si>
    <t xml:space="preserve">Not the same as net investment exposure. Unilever's reported net investment exposure (€21.6bn at YE2025, AR2025) is a balance-sheet translation exposure recognised in equity. This sheet measures only the 13-week OPERATING CASH-FLOW mismatch by currency.</t>
  </si>
  <si>
    <t xml:space="preserve">OPTIMISATION — GRID-BASED BUFFER OPTIMISATION (BUFFER SIZE vs TREASURY COST vs STRESS COVERAGE)</t>
  </si>
  <si>
    <t xml:space="preserve">Grid-based optimisation: candidate liquidity-buffer levels are evaluated against the stated model assumptions and constraints, and the lowest modelled treasury-cost outcome satisfying the liquidity constraint is identified. Not a continuous optimiser; no Solver. Decision variable: minimum liquidity buffer. All formulas use the engine's cumulative pre-funding cash path.</t>
  </si>
  <si>
    <t xml:space="preserve">Funding rate (active)</t>
  </si>
  <si>
    <t xml:space="preserve">Investment yield</t>
  </si>
  <si>
    <t xml:space="preserve">Uninvested headroom</t>
  </si>
  <si>
    <t xml:space="preserve">Accrual factor (days/week ÷ day count)</t>
  </si>
  <si>
    <t xml:space="preserve">Undrawn committed facilities</t>
  </si>
  <si>
    <t xml:space="preserve">Restricted cash</t>
  </si>
  <si>
    <t xml:space="preserve">Severe-stress peak drain vs Base</t>
  </si>
  <si>
    <t xml:space="preserve">Largest gap between the Base and Severe cumulative cash paths: the stress the buffer should absorb without drawing the backstop facility.</t>
  </si>
  <si>
    <t xml:space="preserve">Methodology buffer (in use)</t>
  </si>
  <si>
    <t xml:space="preserve">Facility utilisation limit</t>
  </si>
  <si>
    <t xml:space="preserve">Avg surplus cash</t>
  </si>
  <si>
    <t xml:space="preserve">13-wk investment income</t>
  </si>
  <si>
    <t xml:space="preserve">Net treasury cost</t>
  </si>
  <si>
    <t xml:space="preserve">Min liquidity headroom</t>
  </si>
  <si>
    <t xml:space="preserve">Stress coverage gap</t>
  </si>
  <si>
    <t xml:space="preserve">Facility check</t>
  </si>
  <si>
    <t xml:space="preserve">Feasible</t>
  </si>
  <si>
    <t xml:space="preserve">Candidate</t>
  </si>
  <si>
    <t xml:space="preserve">← methodology buffer in use (reconciles to FUNDING / SURPLUS_CASH, Checks 10–11)</t>
  </si>
  <si>
    <t xml:space="preserve">Model-selected buffer</t>
  </si>
  <si>
    <t xml:space="preserve">Objective: minimise 13-week modelled net treasury cost (funding cost − investment income) across the tested grid, subject to (i) the buffer absorbing the severe-stress drain vs Base without the backstop facility and (ii) peak funding within the facility limit. Net cost rises with the buffer, so the smallest feasible grid level is selected. Not a policy recommendation.</t>
  </si>
  <si>
    <t xml:space="preserve">Net treasury cost at model-selected buffer</t>
  </si>
  <si>
    <t xml:space="preserve">Trade-off (selected scenario, methodology buffer)</t>
  </si>
  <si>
    <t xml:space="preserve">Holding cash — opportunity cost of the usable buffer (funding rate − yield)</t>
  </si>
  <si>
    <t xml:space="preserve">Investing surplus — investment income</t>
  </si>
  <si>
    <t xml:space="preserve">Borrowing — funding cost</t>
  </si>
  <si>
    <t xml:space="preserve">Holding too little — severe-stress coverage gap (€m not absorbed by the buffer)</t>
  </si>
  <si>
    <t xml:space="preserve">Liquidity risk: must be met from the backstop facility at short notice.</t>
  </si>
  <si>
    <t xml:space="preserve">Net treasury cost (funding cost − investment income)</t>
  </si>
  <si>
    <t xml:space="preserve">Sensitivity 1 — 13-week net treasury cost (€m): minimum liquidity buffer × funding rate (selected scenario)</t>
  </si>
  <si>
    <t xml:space="preserve">Buffer €m \ funding rate</t>
  </si>
  <si>
    <t xml:space="preserve">Sensitivity 2 helper — cumulative cash before funding by collection delay (selected scenario, other drivers unchanged)</t>
  </si>
  <si>
    <t xml:space="preserve">Delay (days) \ week</t>
  </si>
  <si>
    <t xml:space="preserve">Sensitivity 2 — collection delay × funding rate at the methodology buffer: peak funding requirement and 13-week funding cost (€m)</t>
  </si>
  <si>
    <t xml:space="preserve">Delay (days) \ funding rate</t>
  </si>
  <si>
    <t xml:space="preserve">Peak funding €m</t>
  </si>
  <si>
    <t xml:space="preserve">TREASURY_OUTPUT — EXECUTIVE SUMMARY (MODEL OUTPUT)</t>
  </si>
  <si>
    <t xml:space="preserve">Forecast cash flows are model assumptions and model outputs, not Unilever confidential treasury forecasts. Change the scenario on 13W_FORECAST!C4.</t>
  </si>
  <si>
    <t xml:space="preserve">Linked to the selector on 13W_FORECAST (the single input cell for scenario choice).</t>
  </si>
  <si>
    <t xml:space="preserve">Opening cash (balance sheet, 31 Dec 2025)</t>
  </si>
  <si>
    <t xml:space="preserve">Minimum liquidity requirement (modelled buffer)</t>
  </si>
  <si>
    <t xml:space="preserve">Model output — not Unilever policy</t>
  </si>
  <si>
    <t xml:space="preserve">Minimum projected cash before liquidity funding</t>
  </si>
  <si>
    <t xml:space="preserve">Week of minimum projected cash</t>
  </si>
  <si>
    <t xml:space="preserve">Maximum liquidity deficit vs buffer</t>
  </si>
  <si>
    <t xml:space="preserve">Maximum funding requirement</t>
  </si>
  <si>
    <t xml:space="preserve">Weeks below buffer before funding</t>
  </si>
  <si>
    <t xml:space="preserve">Model output — see objective below</t>
  </si>
  <si>
    <t xml:space="preserve">Scenario comparison — Base / Downside / Severe (computed directly from each scenario's cash path; no need to switch the selector)</t>
  </si>
  <si>
    <t xml:space="preserve">Metric (€m unless stated)</t>
  </si>
  <si>
    <t xml:space="preserve">Minimum projected cash (before liquidity funding)</t>
  </si>
  <si>
    <t xml:space="preserve">Week of minimum</t>
  </si>
  <si>
    <t xml:space="preserve">Modelled liquidity buffer</t>
  </si>
  <si>
    <t xml:space="preserve">Headroom at low point (minimum cash − buffer)</t>
  </si>
  <si>
    <t xml:space="preserve">Peak facility utilisation</t>
  </si>
  <si>
    <t xml:space="preserve">Funding cost (13 weeks)</t>
  </si>
  <si>
    <t xml:space="preserve">Investment income (13 weeks)</t>
  </si>
  <si>
    <t xml:space="preserve">Reverse stress: extra collection delay before funding is needed (days)</t>
  </si>
  <si>
    <t xml:space="preserve">Selected-scenario column reconciles to the KPI block above (STEP3_CHECKS S4). Reverse stress: additional days of customer payment delay, on top of the scenario's own delay, before cash first touches the buffer.</t>
  </si>
  <si>
    <t xml:space="preserve">Model-selected buffer objective: minimises 13-week modelled net treasury cost across a fixed grid of buffer levels, subject to absorbing the severe-stress drain vs Base without the backstop facility and keeping funding within committed facilities. Grid-based; not a policy recommendation.</t>
  </si>
  <si>
    <t xml:space="preserve">Chart 3 — Treasury cost sensitivity heatmap: 13-week net treasury cost (€m), minimum liquidity buffer × funding rate</t>
  </si>
  <si>
    <t xml:space="preserve">Green = lowest cost, red = highest. Negative = investment income exceeds funding cost. A heatmap is a colour-scaled grid, which is how Excel renders one.</t>
  </si>
  <si>
    <t xml:space="preserve">Model observations (formula-linked; not recommendations)</t>
  </si>
  <si>
    <t xml:space="preserve">STEP3_CHECKS — AUTOMATED INTEGRITY CHECKS</t>
  </si>
  <si>
    <t xml:space="preserve">Every status is a formula: PASS / ERROR / N/A. Test value = absolute discrepancy (€m) or count of violations.</t>
  </si>
  <si>
    <t xml:space="preserve">STEP 3 STATUS</t>
  </si>
  <si>
    <t xml:space="preserve">#</t>
  </si>
  <si>
    <t xml:space="preserve">Test value</t>
  </si>
  <si>
    <t xml:space="preserve">What it tests</t>
  </si>
  <si>
    <t xml:space="preserve">1</t>
  </si>
  <si>
    <t xml:space="preserve">Cash roll-forward: opening + net movement = closing; next opening = prior closing; W1 opening = balance-sheet cash</t>
  </si>
  <si>
    <t xml:space="preserve">Closing cash is never typed.</t>
  </si>
  <si>
    <t xml:space="preserve">2</t>
  </si>
  <si>
    <t xml:space="preserve">Scenario selection is valid</t>
  </si>
  <si>
    <t xml:space="preserve">Selector must equal Base, Downside or Severe.</t>
  </si>
  <si>
    <t xml:space="preserve">3</t>
  </si>
  <si>
    <t xml:space="preserve">Total inflows = sum of inflow components</t>
  </si>
  <si>
    <t xml:space="preserve">4</t>
  </si>
  <si>
    <t xml:space="preserve">Total operating outflows = sum of outflow components</t>
  </si>
  <si>
    <t xml:space="preserve">5</t>
  </si>
  <si>
    <t xml:space="preserve">Net cash movement = inflows + outflows + FX + net financing</t>
  </si>
  <si>
    <t xml:space="preserve">6</t>
  </si>
  <si>
    <t xml:space="preserve">Funding requirement cannot be negative</t>
  </si>
  <si>
    <t xml:space="preserve">7</t>
  </si>
  <si>
    <t xml:space="preserve">Facility utilisation within available committed facilities (breach = explicit red flag)</t>
  </si>
  <si>
    <t xml:space="preserve">ERROR here means the facilities would be exhausted: a genuine finding, flagged red on FUNDING and TREASURY_OUTPUT.</t>
  </si>
  <si>
    <t xml:space="preserve">8</t>
  </si>
  <si>
    <t xml:space="preserve">Closing cash after funding ≥ minimum liquidity in every week</t>
  </si>
  <si>
    <t xml:space="preserve">9</t>
  </si>
  <si>
    <t xml:space="preserve">Surplus cash cannot be negative</t>
  </si>
  <si>
    <t xml:space="preserve">10</t>
  </si>
  <si>
    <t xml:space="preserve">Investment income = invested surplus × yield × time (and = OPTIMISATION closed form)</t>
  </si>
  <si>
    <t xml:space="preserve">11</t>
  </si>
  <si>
    <t xml:space="preserve">Funding cost = funding drawn × rate × time (and = OPTIMISATION closed form; drawn = MAX(0, buffer − cumulative pre-funding cash))</t>
  </si>
  <si>
    <t xml:space="preserve">Also proves the week-by-week revolver has no circularity and matches the closed form used in the sensitivities.</t>
  </si>
  <si>
    <t xml:space="preserve">12</t>
  </si>
  <si>
    <t xml:space="preserve">Scenario integrity: switching scenario changes the drivers, and the engine follows the selector</t>
  </si>
  <si>
    <t xml:space="preserve">PASS needs 12a = 0, 12b &gt; 0 and 12c = 0 (see components below).</t>
  </si>
  <si>
    <t xml:space="preserve">Supplementary</t>
  </si>
  <si>
    <t xml:space="preserve">S1</t>
  </si>
  <si>
    <t xml:space="preserve">FX_LIQUIDITY total impact = 13W_FORECAST FX line</t>
  </si>
  <si>
    <t xml:space="preserve">S2</t>
  </si>
  <si>
    <t xml:space="preserve">Currency shares add to 100% (inflows and outflows)</t>
  </si>
  <si>
    <t xml:space="preserve">S3</t>
  </si>
  <si>
    <t xml:space="preserve">Available + restricted liquidity reconciles to cash + other current financial assets</t>
  </si>
  <si>
    <t xml:space="preserve">S4</t>
  </si>
  <si>
    <t xml:space="preserve">Scenario comparison table: selected-scenario column = KPI block (min cash, peak funding, funding cost, income)</t>
  </si>
  <si>
    <t xml:space="preserve">Check 12 components</t>
  </si>
  <si>
    <t xml:space="preserve">12a</t>
  </si>
  <si>
    <t xml:space="preserve">ASSUMPTIONS: ACTIVE column equals the selected scenario column (mismatching rows)</t>
  </si>
  <si>
    <t xml:space="preserve">12b</t>
  </si>
  <si>
    <t xml:space="preserve">Scenarios produce different cash paths (Σ|Base − Severe|, must be &gt; 0)</t>
  </si>
  <si>
    <t xml:space="preserve">12c</t>
  </si>
  <si>
    <t xml:space="preserve">SCENARIOS row for the selected scenario = engine cumulative cash (Σ abs diff)</t>
  </si>
  <si>
    <t xml:space="preserve">No circular references: interest on existing debt uses beginning-period debt; liquidity funding cost and investment income are reported below the cash line. LibreOffice/Excel would flag any circularity on recalculation.</t>
  </si>
</sst>
</file>

<file path=xl/styles.xml><?xml version="1.0" encoding="utf-8"?>
<styleSheet xmlns="http://schemas.openxmlformats.org/spreadsheetml/2006/main">
  <numFmts count="17">
    <numFmt numFmtId="164" formatCode="General"/>
    <numFmt numFmtId="165" formatCode="#,##0;\(#,##0\);\-"/>
    <numFmt numFmtId="166" formatCode="0.0%;\(0.0%\);\-"/>
    <numFmt numFmtId="167" formatCode="0.00\x;\(0.00&quot;x)&quot;;\-"/>
    <numFmt numFmtId="168" formatCode="General"/>
    <numFmt numFmtId="169" formatCode="0.0"/>
    <numFmt numFmtId="170" formatCode="0"/>
    <numFmt numFmtId="171" formatCode="dd\-mmm\-yy"/>
    <numFmt numFmtId="172" formatCode="0.0000"/>
    <numFmt numFmtId="173" formatCode="@"/>
    <numFmt numFmtId="174" formatCode="0%"/>
    <numFmt numFmtId="175" formatCode="0.00"/>
    <numFmt numFmtId="176" formatCode="#,##0.0;\(#,##0.0\);\-"/>
    <numFmt numFmtId="177" formatCode="0.0%"/>
    <numFmt numFmtId="178" formatCode="0.00000"/>
    <numFmt numFmtId="179" formatCode="#,##0"/>
    <numFmt numFmtId="180" formatCode="#,##0.00"/>
  </numFmts>
  <fonts count="18">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b val="true"/>
      <sz val="10"/>
      <color rgb="FF000000"/>
      <name val="Arial"/>
      <family val="0"/>
      <charset val="1"/>
    </font>
    <font>
      <sz val="10"/>
      <color rgb="FF000000"/>
      <name val="Arial"/>
      <family val="0"/>
      <charset val="1"/>
    </font>
    <font>
      <b val="true"/>
      <sz val="10"/>
      <color rgb="FFC00000"/>
      <name val="Arial"/>
      <family val="0"/>
      <charset val="1"/>
    </font>
    <font>
      <i val="true"/>
      <sz val="9"/>
      <color rgb="FF595959"/>
      <name val="Arial"/>
      <family val="0"/>
      <charset val="1"/>
    </font>
    <font>
      <b val="true"/>
      <sz val="10"/>
      <color rgb="FFFFFFFF"/>
      <name val="Arial"/>
      <family val="0"/>
      <charset val="1"/>
    </font>
    <font>
      <b val="true"/>
      <sz val="10"/>
      <color rgb="FF1F3864"/>
      <name val="Arial"/>
      <family val="0"/>
      <charset val="1"/>
    </font>
    <font>
      <sz val="10"/>
      <color rgb="FF0000FF"/>
      <name val="Arial"/>
      <family val="0"/>
      <charset val="1"/>
    </font>
    <font>
      <b val="true"/>
      <sz val="10"/>
      <color rgb="FF00800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C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D9E1F2"/>
        <bgColor rgb="FFE0E0E0"/>
      </patternFill>
    </fill>
    <fill>
      <patternFill patternType="solid">
        <fgColor rgb="FFEDEDED"/>
        <bgColor rgb="FFDDEBF7"/>
      </patternFill>
    </fill>
    <fill>
      <patternFill patternType="solid">
        <fgColor rgb="FFFFFF00"/>
        <bgColor rgb="FFFFFF00"/>
      </patternFill>
    </fill>
    <fill>
      <patternFill patternType="solid">
        <fgColor rgb="FFDDEBF7"/>
        <bgColor rgb="FFD9E1F2"/>
      </patternFill>
    </fill>
  </fills>
  <borders count="3">
    <border diagonalUp="false" diagonalDown="false">
      <left/>
      <right/>
      <top/>
      <bottom/>
      <diagonal/>
    </border>
    <border diagonalUp="false" diagonalDown="false">
      <left/>
      <right/>
      <top/>
      <bottom style="thin">
        <color rgb="FFBFBFBF"/>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left" vertical="center" textRotation="0" wrapText="tru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5" fontId="12" fillId="0" borderId="1" xfId="0" applyFont="true" applyBorder="true" applyAlignment="true" applyProtection="false">
      <alignment horizontal="right" vertical="bottom" textRotation="0" wrapText="false" indent="0" shrinkToFit="false"/>
      <protection locked="true" hidden="false"/>
    </xf>
    <xf numFmtId="165" fontId="13" fillId="0" borderId="1" xfId="0" applyFont="true" applyBorder="true" applyAlignment="true" applyProtection="false">
      <alignment horizontal="right" vertical="bottom" textRotation="0" wrapText="false" indent="0" shrinkToFit="false"/>
      <protection locked="true" hidden="false"/>
    </xf>
    <xf numFmtId="165" fontId="6" fillId="0" borderId="1" xfId="0" applyFont="true" applyBorder="true" applyAlignment="true" applyProtection="false">
      <alignment horizontal="right"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12" fillId="0" borderId="2" xfId="0" applyFont="true" applyBorder="true" applyAlignment="true" applyProtection="false">
      <alignment horizontal="right"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5" fontId="5" fillId="0" borderId="2" xfId="0" applyFont="true" applyBorder="true" applyAlignment="true" applyProtection="false">
      <alignment horizontal="right" vertical="bottom" textRotation="0" wrapText="false" indent="0" shrinkToFit="false"/>
      <protection locked="true" hidden="false"/>
    </xf>
    <xf numFmtId="165" fontId="5" fillId="0" borderId="1" xfId="0" applyFont="true" applyBorder="true" applyAlignment="true" applyProtection="false">
      <alignment horizontal="right" vertical="bottom" textRotation="0" wrapText="false" indent="0" shrinkToFit="false"/>
      <protection locked="true" hidden="false"/>
    </xf>
    <xf numFmtId="167" fontId="6" fillId="0" borderId="1"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71" fontId="11" fillId="0" borderId="1" xfId="0" applyFont="true" applyBorder="true" applyAlignment="true" applyProtection="false">
      <alignment horizontal="right" vertical="bottom" textRotation="0" wrapText="false" indent="0" shrinkToFit="false"/>
      <protection locked="true" hidden="false"/>
    </xf>
    <xf numFmtId="171" fontId="5" fillId="0" borderId="1" xfId="0" applyFont="true" applyBorder="true" applyAlignment="true" applyProtection="false">
      <alignment horizontal="right" vertical="bottom" textRotation="0" wrapText="false" indent="0" shrinkToFit="false"/>
      <protection locked="true" hidden="false"/>
    </xf>
    <xf numFmtId="170" fontId="11" fillId="0" borderId="1" xfId="0" applyFont="true" applyBorder="true" applyAlignment="true" applyProtection="false">
      <alignment horizontal="right" vertical="bottom" textRotation="0" wrapText="false" indent="0" shrinkToFit="false"/>
      <protection locked="true" hidden="false"/>
    </xf>
    <xf numFmtId="170" fontId="5" fillId="0" borderId="1" xfId="0" applyFont="true" applyBorder="true" applyAlignment="true" applyProtection="false">
      <alignment horizontal="right" vertical="bottom" textRotation="0" wrapText="false" indent="0" shrinkToFit="false"/>
      <protection locked="true" hidden="false"/>
    </xf>
    <xf numFmtId="165" fontId="11" fillId="0" borderId="1" xfId="0" applyFont="true" applyBorder="true" applyAlignment="true" applyProtection="false">
      <alignment horizontal="right" vertical="bottom" textRotation="0" wrapText="false" indent="0" shrinkToFit="false"/>
      <protection locked="true" hidden="false"/>
    </xf>
    <xf numFmtId="172" fontId="11" fillId="0" borderId="1" xfId="0" applyFont="true" applyBorder="true" applyAlignment="true" applyProtection="false">
      <alignment horizontal="right" vertical="bottom" textRotation="0" wrapText="false" indent="0" shrinkToFit="false"/>
      <protection locked="true" hidden="false"/>
    </xf>
    <xf numFmtId="172" fontId="5" fillId="0" borderId="1" xfId="0" applyFont="true" applyBorder="true" applyAlignment="true" applyProtection="false">
      <alignment horizontal="right" vertical="bottom" textRotation="0" wrapText="false" indent="0" shrinkToFit="false"/>
      <protection locked="true" hidden="false"/>
    </xf>
    <xf numFmtId="166" fontId="11" fillId="0" borderId="1" xfId="0" applyFont="true" applyBorder="true" applyAlignment="true" applyProtection="false">
      <alignment horizontal="right" vertical="bottom" textRotation="0" wrapText="false" indent="0" shrinkToFit="false"/>
      <protection locked="true" hidden="false"/>
    </xf>
    <xf numFmtId="166" fontId="5" fillId="0" borderId="1" xfId="0" applyFont="true" applyBorder="true" applyAlignment="true" applyProtection="false">
      <alignment horizontal="right" vertical="bottom" textRotation="0" wrapText="false" indent="0" shrinkToFit="false"/>
      <protection locked="true" hidden="false"/>
    </xf>
    <xf numFmtId="173" fontId="11" fillId="0" borderId="1" xfId="0" applyFont="true" applyBorder="true" applyAlignment="true" applyProtection="false">
      <alignment horizontal="right" vertical="bottom" textRotation="0" wrapText="false" indent="0" shrinkToFit="false"/>
      <protection locked="true" hidden="false"/>
    </xf>
    <xf numFmtId="173" fontId="5" fillId="0" borderId="1" xfId="0" applyFont="true" applyBorder="true" applyAlignment="true" applyProtection="false">
      <alignment horizontal="right" vertical="bottom" textRotation="0" wrapText="false" indent="0" shrinkToFit="false"/>
      <protection locked="true" hidden="false"/>
    </xf>
    <xf numFmtId="174" fontId="11" fillId="0" borderId="1" xfId="0" applyFont="true" applyBorder="true" applyAlignment="true" applyProtection="false">
      <alignment horizontal="right" vertical="bottom" textRotation="0" wrapText="false" indent="0" shrinkToFit="false"/>
      <protection locked="true" hidden="false"/>
    </xf>
    <xf numFmtId="174" fontId="5" fillId="0" borderId="1" xfId="0" applyFont="true" applyBorder="true" applyAlignment="true" applyProtection="false">
      <alignment horizontal="right" vertical="bottom" textRotation="0" wrapText="false" indent="0" shrinkToFit="false"/>
      <protection locked="true" hidden="false"/>
    </xf>
    <xf numFmtId="175" fontId="11" fillId="0" borderId="1" xfId="0" applyFont="true" applyBorder="true" applyAlignment="true" applyProtection="false">
      <alignment horizontal="right" vertical="bottom" textRotation="0" wrapText="false" indent="0" shrinkToFit="false"/>
      <protection locked="true" hidden="false"/>
    </xf>
    <xf numFmtId="175" fontId="5" fillId="0" borderId="1" xfId="0" applyFont="true" applyBorder="true" applyAlignment="true" applyProtection="false">
      <alignment horizontal="right"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76" fontId="6"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75" fontId="6" fillId="0" borderId="1" xfId="0" applyFont="true" applyBorder="true" applyAlignment="false" applyProtection="false">
      <alignment horizontal="general" vertical="bottom" textRotation="0" wrapText="false" indent="0" shrinkToFit="false"/>
      <protection locked="true" hidden="false"/>
    </xf>
    <xf numFmtId="164" fontId="5" fillId="5" borderId="0" xfId="0" applyFont="true" applyBorder="false" applyAlignment="true" applyProtection="false">
      <alignment horizontal="center"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71" fontId="6" fillId="0" borderId="1" xfId="0" applyFont="true" applyBorder="true" applyAlignment="false" applyProtection="false">
      <alignment horizontal="general" vertical="bottom" textRotation="0" wrapText="false" indent="0" shrinkToFit="false"/>
      <protection locked="true" hidden="false"/>
    </xf>
    <xf numFmtId="173" fontId="6" fillId="0" borderId="1" xfId="0" applyFont="true" applyBorder="tru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74" fontId="13" fillId="0" borderId="0" xfId="0" applyFont="true" applyBorder="false" applyAlignment="false" applyProtection="false">
      <alignment horizontal="general" vertical="bottom" textRotation="0" wrapText="false" indent="0" shrinkToFit="false"/>
      <protection locked="true" hidden="false"/>
    </xf>
    <xf numFmtId="174" fontId="12"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5" fillId="0" borderId="2"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75" fontId="13" fillId="0" borderId="0" xfId="0" applyFont="true" applyBorder="false" applyAlignment="false" applyProtection="false">
      <alignment horizontal="general" vertical="bottom" textRotation="0" wrapText="false" indent="0" shrinkToFit="false"/>
      <protection locked="true" hidden="false"/>
    </xf>
    <xf numFmtId="165" fontId="5" fillId="6"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77" fontId="6" fillId="0" borderId="1" xfId="0" applyFont="true" applyBorder="true" applyAlignment="false" applyProtection="false">
      <alignment horizontal="general" vertical="bottom" textRotation="0" wrapText="false" indent="0" shrinkToFit="false"/>
      <protection locked="true" hidden="false"/>
    </xf>
    <xf numFmtId="176" fontId="5" fillId="0" borderId="1" xfId="0" applyFont="true" applyBorder="true" applyAlignment="false" applyProtection="false">
      <alignment horizontal="general" vertical="bottom" textRotation="0" wrapText="false" indent="0" shrinkToFit="false"/>
      <protection locked="true" hidden="false"/>
    </xf>
    <xf numFmtId="176" fontId="5" fillId="0" borderId="0" xfId="0" applyFont="true" applyBorder="false" applyAlignment="false" applyProtection="false">
      <alignment horizontal="general"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78" fontId="13"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76" fontId="5" fillId="0" borderId="1" xfId="0" applyFont="true" applyBorder="true" applyAlignment="true" applyProtection="false">
      <alignment horizontal="right" vertical="bottom" textRotation="0" wrapText="false" indent="0" shrinkToFit="false"/>
      <protection locked="true" hidden="false"/>
    </xf>
    <xf numFmtId="177" fontId="5" fillId="0" borderId="1" xfId="0" applyFont="true" applyBorder="true" applyAlignment="true" applyProtection="false">
      <alignment horizontal="right" vertical="bottom" textRotation="0" wrapText="false" indent="0" shrinkToFit="false"/>
      <protection locked="true" hidden="false"/>
    </xf>
    <xf numFmtId="173" fontId="6" fillId="0" borderId="1" xfId="0" applyFont="true" applyBorder="true" applyAlignment="true" applyProtection="false">
      <alignment horizontal="right" vertical="bottom" textRotation="0" wrapText="false" indent="0" shrinkToFit="false"/>
      <protection locked="true" hidden="false"/>
    </xf>
    <xf numFmtId="177" fontId="6" fillId="0" borderId="1" xfId="0" applyFont="true" applyBorder="true" applyAlignment="true" applyProtection="false">
      <alignment horizontal="right" vertical="bottom" textRotation="0" wrapText="false" indent="0" shrinkToFit="false"/>
      <protection locked="true" hidden="false"/>
    </xf>
    <xf numFmtId="176" fontId="6" fillId="0" borderId="1" xfId="0" applyFont="true" applyBorder="true" applyAlignment="true" applyProtection="false">
      <alignment horizontal="right" vertical="bottom" textRotation="0" wrapText="false" indent="0" shrinkToFit="false"/>
      <protection locked="true" hidden="false"/>
    </xf>
    <xf numFmtId="170" fontId="6" fillId="0" borderId="1" xfId="0" applyFont="true" applyBorder="true" applyAlignment="true" applyProtection="false">
      <alignment horizontal="right" vertical="bottom" textRotation="0" wrapText="false" indent="0" shrinkToFit="false"/>
      <protection locked="true" hidden="false"/>
    </xf>
    <xf numFmtId="169" fontId="6" fillId="0" borderId="1" xfId="0" applyFont="true" applyBorder="true" applyAlignment="true" applyProtection="false">
      <alignment horizontal="right" vertical="bottom" textRotation="0" wrapText="false" indent="0" shrinkToFit="false"/>
      <protection locked="true" hidden="false"/>
    </xf>
    <xf numFmtId="176" fontId="13"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80" fontId="0" fillId="0" borderId="1" xfId="0" applyFont="false" applyBorder="true" applyAlignment="false" applyProtection="false">
      <alignment horizontal="general" vertical="bottom" textRotation="0" wrapText="false" indent="0" shrinkToFit="false"/>
      <protection locked="true" hidden="false"/>
    </xf>
    <xf numFmtId="180"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C00000"/>
      </font>
      <fill>
        <patternFill>
          <bgColor rgb="FFF8CBAD"/>
        </patternFill>
      </fill>
    </dxf>
    <dxf>
      <fill>
        <patternFill>
          <bgColor rgb="FFC6EFCE"/>
        </patternFill>
      </fill>
    </dxf>
    <dxf>
      <fill>
        <patternFill>
          <bgColor rgb="FFFFEB9C"/>
        </patternFill>
      </fill>
    </dxf>
    <dxf>
      <font>
        <name val="Arial"/>
        <charset val="1"/>
        <family val="0"/>
        <b val="1"/>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EDEDED"/>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6EFCE"/>
      <rgbColor rgb="FFFFEB9C"/>
      <rgbColor rgb="FFE0E0E0"/>
      <rgbColor rgb="FFFF99CC"/>
      <rgbColor rgb="FFCC99FF"/>
      <rgbColor rgb="FFF8CBAD"/>
      <rgbColor rgb="FF2A78D6"/>
      <rgbColor rgb="FF33CCCC"/>
      <rgbColor rgb="FF99CC00"/>
      <rgbColor rgb="FFFFCC00"/>
      <rgbColor rgb="FFFF9900"/>
      <rgbColor rgb="FFEB6834"/>
      <rgbColor rgb="FF595959"/>
      <rgbColor rgb="FF87878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and operating profit, 2021–2025 (€bn)</a:t>
            </a:r>
          </a:p>
        </c:rich>
      </c:tx>
      <c:overlay val="0"/>
      <c:spPr>
        <a:noFill/>
        <a:ln w="0">
          <a:noFill/>
        </a:ln>
      </c:spPr>
    </c:title>
    <c:autoTitleDeleted val="0"/>
    <c:plotArea>
      <c:lineChart>
        <c:grouping val="standard"/>
        <c:varyColors val="0"/>
        <c:ser>
          <c:idx val="0"/>
          <c:order val="0"/>
          <c:tx>
            <c:strRef>
              <c:f>HISTORICAL_OUTPUTS!J6</c:f>
              <c:strCache>
                <c:ptCount val="1"/>
                <c:pt idx="0">
                  <c:v>Revenue — original basis</c:v>
                </c:pt>
              </c:strCache>
            </c:strRef>
          </c:tx>
          <c:spPr>
            <a:solidFill>
              <a:srgbClr val="2a78d6"/>
            </a:solidFill>
            <a:ln w="25560">
              <a:solidFill>
                <a:srgbClr val="2a78d6"/>
              </a:solidFill>
              <a:round/>
            </a:ln>
          </c:spPr>
          <c:marker>
            <c:symbol val="circle"/>
            <c:size val="7"/>
            <c:spPr>
              <a:solidFill>
                <a:srgbClr val="2a78d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HISTORICAL_OUTPUTS!$K$5:$P$5</c:f>
              <c:strCache>
                <c:ptCount val="6"/>
                <c:pt idx="0">
                  <c:v>2021</c:v>
                </c:pt>
                <c:pt idx="1">
                  <c:v>2022</c:v>
                </c:pt>
                <c:pt idx="2">
                  <c:v>2023 O</c:v>
                </c:pt>
                <c:pt idx="3">
                  <c:v>2023 C</c:v>
                </c:pt>
                <c:pt idx="4">
                  <c:v>2024</c:v>
                </c:pt>
                <c:pt idx="5">
                  <c:v>2025</c:v>
                </c:pt>
              </c:strCache>
            </c:strRef>
          </c:cat>
          <c:val>
            <c:numRef>
              <c:f>HISTORICAL_OUTPUTS!$K$6:$P$6</c:f>
              <c:numCache>
                <c:formatCode>0.0</c:formatCode>
                <c:ptCount val="6"/>
                <c:pt idx="0">
                  <c:v>52.444</c:v>
                </c:pt>
                <c:pt idx="1">
                  <c:v>60.073</c:v>
                </c:pt>
                <c:pt idx="2">
                  <c:v>59.604</c:v>
                </c:pt>
              </c:numCache>
            </c:numRef>
          </c:val>
          <c:smooth val="0"/>
        </c:ser>
        <c:ser>
          <c:idx val="1"/>
          <c:order val="1"/>
          <c:tx>
            <c:strRef>
              <c:f>HISTORICAL_OUTPUTS!J7</c:f>
              <c:strCache>
                <c:ptCount val="1"/>
                <c:pt idx="0">
                  <c:v>Revenue — continuing basis</c:v>
                </c:pt>
              </c:strCache>
            </c:strRef>
          </c:tx>
          <c:spPr>
            <a:solidFill>
              <a:srgbClr val="2a78d6"/>
            </a:solidFill>
            <a:ln w="25560">
              <a:solidFill>
                <a:srgbClr val="2a78d6"/>
              </a:solidFill>
              <a:prstDash val="dash"/>
              <a:round/>
            </a:ln>
          </c:spPr>
          <c:marker>
            <c:symbol val="circle"/>
            <c:size val="7"/>
            <c:spPr>
              <a:solidFill>
                <a:srgbClr val="2a78d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HISTORICAL_OUTPUTS!$K$5:$P$5</c:f>
              <c:strCache>
                <c:ptCount val="6"/>
                <c:pt idx="0">
                  <c:v>2021</c:v>
                </c:pt>
                <c:pt idx="1">
                  <c:v>2022</c:v>
                </c:pt>
                <c:pt idx="2">
                  <c:v>2023 O</c:v>
                </c:pt>
                <c:pt idx="3">
                  <c:v>2023 C</c:v>
                </c:pt>
                <c:pt idx="4">
                  <c:v>2024</c:v>
                </c:pt>
                <c:pt idx="5">
                  <c:v>2025</c:v>
                </c:pt>
              </c:strCache>
            </c:strRef>
          </c:cat>
          <c:val>
            <c:numRef>
              <c:f>HISTORICAL_OUTPUTS!$K$7:$P$7</c:f>
              <c:numCache>
                <c:formatCode>0.0</c:formatCode>
                <c:ptCount val="6"/>
                <c:pt idx="3">
                  <c:v>51.68</c:v>
                </c:pt>
                <c:pt idx="4">
                  <c:v>52.479</c:v>
                </c:pt>
                <c:pt idx="5">
                  <c:v>50.503</c:v>
                </c:pt>
              </c:numCache>
            </c:numRef>
          </c:val>
          <c:smooth val="0"/>
        </c:ser>
        <c:ser>
          <c:idx val="2"/>
          <c:order val="2"/>
          <c:tx>
            <c:strRef>
              <c:f>HISTORICAL_OUTPUTS!J8</c:f>
              <c:strCache>
                <c:ptCount val="1"/>
                <c:pt idx="0">
                  <c:v>Operating profit — original basis</c:v>
                </c:pt>
              </c:strCache>
            </c:strRef>
          </c:tx>
          <c:spPr>
            <a:solidFill>
              <a:srgbClr val="eb6834"/>
            </a:solidFill>
            <a:ln w="25560">
              <a:solidFill>
                <a:srgbClr val="eb6834"/>
              </a:solidFill>
              <a:round/>
            </a:ln>
          </c:spPr>
          <c:marker>
            <c:symbol val="circle"/>
            <c:size val="7"/>
            <c:spPr>
              <a:solidFill>
                <a:srgbClr val="eb6834"/>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HISTORICAL_OUTPUTS!$K$5:$P$5</c:f>
              <c:strCache>
                <c:ptCount val="6"/>
                <c:pt idx="0">
                  <c:v>2021</c:v>
                </c:pt>
                <c:pt idx="1">
                  <c:v>2022</c:v>
                </c:pt>
                <c:pt idx="2">
                  <c:v>2023 O</c:v>
                </c:pt>
                <c:pt idx="3">
                  <c:v>2023 C</c:v>
                </c:pt>
                <c:pt idx="4">
                  <c:v>2024</c:v>
                </c:pt>
                <c:pt idx="5">
                  <c:v>2025</c:v>
                </c:pt>
              </c:strCache>
            </c:strRef>
          </c:cat>
          <c:val>
            <c:numRef>
              <c:f>HISTORICAL_OUTPUTS!$K$8:$P$8</c:f>
              <c:numCache>
                <c:formatCode>0.0</c:formatCode>
                <c:ptCount val="6"/>
                <c:pt idx="0">
                  <c:v>8.702</c:v>
                </c:pt>
                <c:pt idx="1">
                  <c:v>10.755</c:v>
                </c:pt>
                <c:pt idx="2">
                  <c:v>9.758</c:v>
                </c:pt>
              </c:numCache>
            </c:numRef>
          </c:val>
          <c:smooth val="0"/>
        </c:ser>
        <c:ser>
          <c:idx val="3"/>
          <c:order val="3"/>
          <c:tx>
            <c:strRef>
              <c:f>HISTORICAL_OUTPUTS!J9</c:f>
              <c:strCache>
                <c:ptCount val="1"/>
                <c:pt idx="0">
                  <c:v>Operating profit — continuing basis</c:v>
                </c:pt>
              </c:strCache>
            </c:strRef>
          </c:tx>
          <c:spPr>
            <a:solidFill>
              <a:srgbClr val="eb6834"/>
            </a:solidFill>
            <a:ln w="25560">
              <a:solidFill>
                <a:srgbClr val="eb6834"/>
              </a:solidFill>
              <a:prstDash val="dash"/>
              <a:round/>
            </a:ln>
          </c:spPr>
          <c:marker>
            <c:symbol val="circle"/>
            <c:size val="7"/>
            <c:spPr>
              <a:solidFill>
                <a:srgbClr val="eb6834"/>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HISTORICAL_OUTPUTS!$K$5:$P$5</c:f>
              <c:strCache>
                <c:ptCount val="6"/>
                <c:pt idx="0">
                  <c:v>2021</c:v>
                </c:pt>
                <c:pt idx="1">
                  <c:v>2022</c:v>
                </c:pt>
                <c:pt idx="2">
                  <c:v>2023 O</c:v>
                </c:pt>
                <c:pt idx="3">
                  <c:v>2023 C</c:v>
                </c:pt>
                <c:pt idx="4">
                  <c:v>2024</c:v>
                </c:pt>
                <c:pt idx="5">
                  <c:v>2025</c:v>
                </c:pt>
              </c:strCache>
            </c:strRef>
          </c:cat>
          <c:val>
            <c:numRef>
              <c:f>HISTORICAL_OUTPUTS!$K$9:$P$9</c:f>
              <c:numCache>
                <c:formatCode>0.0</c:formatCode>
                <c:ptCount val="6"/>
                <c:pt idx="3">
                  <c:v>8.998</c:v>
                </c:pt>
                <c:pt idx="4">
                  <c:v>8.829</c:v>
                </c:pt>
                <c:pt idx="5">
                  <c:v>9.037</c:v>
                </c:pt>
              </c:numCache>
            </c:numRef>
          </c:val>
          <c:smooth val="0"/>
        </c:ser>
        <c:hiLowLines>
          <c:spPr>
            <a:ln w="0">
              <a:noFill/>
            </a:ln>
          </c:spPr>
        </c:hiLowLines>
        <c:marker val="1"/>
        <c:axId val="58096368"/>
        <c:axId val="64609272"/>
      </c:lineChart>
      <c:catAx>
        <c:axId val="5809636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609272"/>
        <c:crosses val="autoZero"/>
        <c:auto val="1"/>
        <c:lblAlgn val="ctr"/>
        <c:lblOffset val="100"/>
        <c:noMultiLvlLbl val="0"/>
      </c:catAx>
      <c:valAx>
        <c:axId val="64609272"/>
        <c:scaling>
          <c:orientation val="minMax"/>
        </c:scaling>
        <c:delete val="0"/>
        <c:axPos val="l"/>
        <c:majorGridlines>
          <c:spPr>
            <a:ln w="9360">
              <a:solidFill>
                <a:srgbClr val="e0e0e0"/>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09636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Operating cash flow and FCF, 2021–2025 (€bn)</a:t>
            </a:r>
          </a:p>
        </c:rich>
      </c:tx>
      <c:overlay val="0"/>
      <c:spPr>
        <a:noFill/>
        <a:ln w="0">
          <a:noFill/>
        </a:ln>
      </c:spPr>
    </c:title>
    <c:autoTitleDeleted val="0"/>
    <c:plotArea>
      <c:lineChart>
        <c:grouping val="standard"/>
        <c:varyColors val="0"/>
        <c:ser>
          <c:idx val="0"/>
          <c:order val="0"/>
          <c:tx>
            <c:strRef>
              <c:f>HISTORICAL_OUTPUTS!J10</c:f>
              <c:strCache>
                <c:ptCount val="1"/>
                <c:pt idx="0">
                  <c:v>Operating CF — original basis</c:v>
                </c:pt>
              </c:strCache>
            </c:strRef>
          </c:tx>
          <c:spPr>
            <a:solidFill>
              <a:srgbClr val="2a78d6"/>
            </a:solidFill>
            <a:ln w="25560">
              <a:solidFill>
                <a:srgbClr val="2a78d6"/>
              </a:solidFill>
              <a:round/>
            </a:ln>
          </c:spPr>
          <c:marker>
            <c:symbol val="circle"/>
            <c:size val="7"/>
            <c:spPr>
              <a:solidFill>
                <a:srgbClr val="2a78d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HISTORICAL_OUTPUTS!$K$5:$P$5</c:f>
              <c:strCache>
                <c:ptCount val="6"/>
                <c:pt idx="0">
                  <c:v>2021</c:v>
                </c:pt>
                <c:pt idx="1">
                  <c:v>2022</c:v>
                </c:pt>
                <c:pt idx="2">
                  <c:v>2023 O</c:v>
                </c:pt>
                <c:pt idx="3">
                  <c:v>2023 C</c:v>
                </c:pt>
                <c:pt idx="4">
                  <c:v>2024</c:v>
                </c:pt>
                <c:pt idx="5">
                  <c:v>2025</c:v>
                </c:pt>
              </c:strCache>
            </c:strRef>
          </c:cat>
          <c:val>
            <c:numRef>
              <c:f>HISTORICAL_OUTPUTS!$K$10:$P$10</c:f>
              <c:numCache>
                <c:formatCode>0.0</c:formatCode>
                <c:ptCount val="6"/>
                <c:pt idx="0">
                  <c:v>10.305</c:v>
                </c:pt>
                <c:pt idx="1">
                  <c:v>10.089</c:v>
                </c:pt>
                <c:pt idx="2">
                  <c:v>11.561</c:v>
                </c:pt>
              </c:numCache>
            </c:numRef>
          </c:val>
          <c:smooth val="0"/>
        </c:ser>
        <c:ser>
          <c:idx val="1"/>
          <c:order val="1"/>
          <c:tx>
            <c:strRef>
              <c:f>HISTORICAL_OUTPUTS!J11</c:f>
              <c:strCache>
                <c:ptCount val="1"/>
                <c:pt idx="0">
                  <c:v>Operating CF — continuing basis</c:v>
                </c:pt>
              </c:strCache>
            </c:strRef>
          </c:tx>
          <c:spPr>
            <a:solidFill>
              <a:srgbClr val="2a78d6"/>
            </a:solidFill>
            <a:ln w="25560">
              <a:solidFill>
                <a:srgbClr val="2a78d6"/>
              </a:solidFill>
              <a:prstDash val="dash"/>
              <a:round/>
            </a:ln>
          </c:spPr>
          <c:marker>
            <c:symbol val="circle"/>
            <c:size val="7"/>
            <c:spPr>
              <a:solidFill>
                <a:srgbClr val="2a78d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HISTORICAL_OUTPUTS!$K$5:$P$5</c:f>
              <c:strCache>
                <c:ptCount val="6"/>
                <c:pt idx="0">
                  <c:v>2021</c:v>
                </c:pt>
                <c:pt idx="1">
                  <c:v>2022</c:v>
                </c:pt>
                <c:pt idx="2">
                  <c:v>2023 O</c:v>
                </c:pt>
                <c:pt idx="3">
                  <c:v>2023 C</c:v>
                </c:pt>
                <c:pt idx="4">
                  <c:v>2024</c:v>
                </c:pt>
                <c:pt idx="5">
                  <c:v>2025</c:v>
                </c:pt>
              </c:strCache>
            </c:strRef>
          </c:cat>
          <c:val>
            <c:numRef>
              <c:f>HISTORICAL_OUTPUTS!$K$11:$P$11</c:f>
              <c:numCache>
                <c:formatCode>0.0</c:formatCode>
                <c:ptCount val="6"/>
                <c:pt idx="3">
                  <c:v>10.326</c:v>
                </c:pt>
                <c:pt idx="4">
                  <c:v>10.913</c:v>
                </c:pt>
                <c:pt idx="5">
                  <c:v>10.772</c:v>
                </c:pt>
              </c:numCache>
            </c:numRef>
          </c:val>
          <c:smooth val="0"/>
        </c:ser>
        <c:ser>
          <c:idx val="2"/>
          <c:order val="2"/>
          <c:tx>
            <c:strRef>
              <c:f>HISTORICAL_OUTPUTS!J12</c:f>
              <c:strCache>
                <c:ptCount val="1"/>
                <c:pt idx="0">
                  <c:v>FCF — original basis</c:v>
                </c:pt>
              </c:strCache>
            </c:strRef>
          </c:tx>
          <c:spPr>
            <a:solidFill>
              <a:srgbClr val="eb6834"/>
            </a:solidFill>
            <a:ln w="25560">
              <a:solidFill>
                <a:srgbClr val="eb6834"/>
              </a:solidFill>
              <a:round/>
            </a:ln>
          </c:spPr>
          <c:marker>
            <c:symbol val="circle"/>
            <c:size val="7"/>
            <c:spPr>
              <a:solidFill>
                <a:srgbClr val="eb6834"/>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HISTORICAL_OUTPUTS!$K$5:$P$5</c:f>
              <c:strCache>
                <c:ptCount val="6"/>
                <c:pt idx="0">
                  <c:v>2021</c:v>
                </c:pt>
                <c:pt idx="1">
                  <c:v>2022</c:v>
                </c:pt>
                <c:pt idx="2">
                  <c:v>2023 O</c:v>
                </c:pt>
                <c:pt idx="3">
                  <c:v>2023 C</c:v>
                </c:pt>
                <c:pt idx="4">
                  <c:v>2024</c:v>
                </c:pt>
                <c:pt idx="5">
                  <c:v>2025</c:v>
                </c:pt>
              </c:strCache>
            </c:strRef>
          </c:cat>
          <c:val>
            <c:numRef>
              <c:f>HISTORICAL_OUTPUTS!$K$12:$P$12</c:f>
              <c:numCache>
                <c:formatCode>0.0</c:formatCode>
                <c:ptCount val="6"/>
                <c:pt idx="0">
                  <c:v>6.393</c:v>
                </c:pt>
                <c:pt idx="1">
                  <c:v>5.198</c:v>
                </c:pt>
                <c:pt idx="2">
                  <c:v>7.091</c:v>
                </c:pt>
              </c:numCache>
            </c:numRef>
          </c:val>
          <c:smooth val="0"/>
        </c:ser>
        <c:ser>
          <c:idx val="3"/>
          <c:order val="3"/>
          <c:tx>
            <c:strRef>
              <c:f>HISTORICAL_OUTPUTS!J13</c:f>
              <c:strCache>
                <c:ptCount val="1"/>
                <c:pt idx="0">
                  <c:v>FCF — continuing basis</c:v>
                </c:pt>
              </c:strCache>
            </c:strRef>
          </c:tx>
          <c:spPr>
            <a:solidFill>
              <a:srgbClr val="eb6834"/>
            </a:solidFill>
            <a:ln w="25560">
              <a:solidFill>
                <a:srgbClr val="eb6834"/>
              </a:solidFill>
              <a:prstDash val="dash"/>
              <a:round/>
            </a:ln>
          </c:spPr>
          <c:marker>
            <c:symbol val="circle"/>
            <c:size val="7"/>
            <c:spPr>
              <a:solidFill>
                <a:srgbClr val="eb6834"/>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HISTORICAL_OUTPUTS!$K$5:$P$5</c:f>
              <c:strCache>
                <c:ptCount val="6"/>
                <c:pt idx="0">
                  <c:v>2021</c:v>
                </c:pt>
                <c:pt idx="1">
                  <c:v>2022</c:v>
                </c:pt>
                <c:pt idx="2">
                  <c:v>2023 O</c:v>
                </c:pt>
                <c:pt idx="3">
                  <c:v>2023 C</c:v>
                </c:pt>
                <c:pt idx="4">
                  <c:v>2024</c:v>
                </c:pt>
                <c:pt idx="5">
                  <c:v>2025</c:v>
                </c:pt>
              </c:strCache>
            </c:strRef>
          </c:cat>
          <c:val>
            <c:numRef>
              <c:f>HISTORICAL_OUTPUTS!$K$13:$P$13</c:f>
              <c:numCache>
                <c:formatCode>0.0</c:formatCode>
                <c:ptCount val="6"/>
                <c:pt idx="3">
                  <c:v>6.445</c:v>
                </c:pt>
                <c:pt idx="4">
                  <c:v>6.303</c:v>
                </c:pt>
                <c:pt idx="5">
                  <c:v>5.921</c:v>
                </c:pt>
              </c:numCache>
            </c:numRef>
          </c:val>
          <c:smooth val="0"/>
        </c:ser>
        <c:hiLowLines>
          <c:spPr>
            <a:ln w="0">
              <a:noFill/>
            </a:ln>
          </c:spPr>
        </c:hiLowLines>
        <c:marker val="1"/>
        <c:axId val="297327"/>
        <c:axId val="25485789"/>
      </c:lineChart>
      <c:catAx>
        <c:axId val="29732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485789"/>
        <c:crosses val="autoZero"/>
        <c:auto val="1"/>
        <c:lblAlgn val="ctr"/>
        <c:lblOffset val="100"/>
        <c:noMultiLvlLbl val="0"/>
      </c:catAx>
      <c:valAx>
        <c:axId val="25485789"/>
        <c:scaling>
          <c:orientation val="minMax"/>
        </c:scaling>
        <c:delete val="0"/>
        <c:axPos val="l"/>
        <c:majorGridlines>
          <c:spPr>
            <a:ln w="9360">
              <a:solidFill>
                <a:srgbClr val="e0e0e0"/>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732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Cash and net debt at year-end, 2021–2025 (€bn)</a:t>
            </a:r>
          </a:p>
        </c:rich>
      </c:tx>
      <c:overlay val="0"/>
      <c:spPr>
        <a:noFill/>
        <a:ln w="0">
          <a:noFill/>
        </a:ln>
      </c:spPr>
    </c:title>
    <c:autoTitleDeleted val="0"/>
    <c:plotArea>
      <c:lineChart>
        <c:grouping val="standard"/>
        <c:varyColors val="0"/>
        <c:ser>
          <c:idx val="0"/>
          <c:order val="0"/>
          <c:tx>
            <c:strRef>
              <c:f>HISTORICAL_OUTPUTS!J16</c:f>
              <c:strCache>
                <c:ptCount val="1"/>
                <c:pt idx="0">
                  <c:v>Cash (balance sheet)</c:v>
                </c:pt>
              </c:strCache>
            </c:strRef>
          </c:tx>
          <c:spPr>
            <a:solidFill>
              <a:srgbClr val="2a78d6"/>
            </a:solidFill>
            <a:ln w="25560">
              <a:solidFill>
                <a:srgbClr val="2a78d6"/>
              </a:solidFill>
              <a:round/>
            </a:ln>
          </c:spPr>
          <c:marker>
            <c:symbol val="circle"/>
            <c:size val="7"/>
            <c:spPr>
              <a:solidFill>
                <a:srgbClr val="2a78d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HISTORICAL_OUTPUTS!$K$15:$O$15</c:f>
              <c:strCache>
                <c:ptCount val="5"/>
                <c:pt idx="0">
                  <c:v>2021</c:v>
                </c:pt>
                <c:pt idx="1">
                  <c:v>2022</c:v>
                </c:pt>
                <c:pt idx="2">
                  <c:v>2023</c:v>
                </c:pt>
                <c:pt idx="3">
                  <c:v>2024</c:v>
                </c:pt>
                <c:pt idx="4">
                  <c:v>2025</c:v>
                </c:pt>
              </c:strCache>
            </c:strRef>
          </c:cat>
          <c:val>
            <c:numRef>
              <c:f>HISTORICAL_OUTPUTS!$K$16:$O$16</c:f>
              <c:numCache>
                <c:formatCode>0.0</c:formatCode>
                <c:ptCount val="5"/>
                <c:pt idx="0">
                  <c:v>3.415</c:v>
                </c:pt>
                <c:pt idx="1">
                  <c:v>4.326</c:v>
                </c:pt>
                <c:pt idx="2">
                  <c:v>4.159</c:v>
                </c:pt>
                <c:pt idx="3">
                  <c:v>6.136</c:v>
                </c:pt>
                <c:pt idx="4">
                  <c:v>3.941</c:v>
                </c:pt>
              </c:numCache>
            </c:numRef>
          </c:val>
          <c:smooth val="0"/>
        </c:ser>
        <c:ser>
          <c:idx val="1"/>
          <c:order val="1"/>
          <c:tx>
            <c:strRef>
              <c:f>HISTORICAL_OUTPUTS!J17</c:f>
              <c:strCache>
                <c:ptCount val="1"/>
                <c:pt idx="0">
                  <c:v>Net debt (reported)</c:v>
                </c:pt>
              </c:strCache>
            </c:strRef>
          </c:tx>
          <c:spPr>
            <a:solidFill>
              <a:srgbClr val="eb6834"/>
            </a:solidFill>
            <a:ln w="25560">
              <a:solidFill>
                <a:srgbClr val="eb6834"/>
              </a:solidFill>
              <a:round/>
            </a:ln>
          </c:spPr>
          <c:marker>
            <c:symbol val="circle"/>
            <c:size val="7"/>
            <c:spPr>
              <a:solidFill>
                <a:srgbClr val="eb6834"/>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HISTORICAL_OUTPUTS!$K$15:$O$15</c:f>
              <c:strCache>
                <c:ptCount val="5"/>
                <c:pt idx="0">
                  <c:v>2021</c:v>
                </c:pt>
                <c:pt idx="1">
                  <c:v>2022</c:v>
                </c:pt>
                <c:pt idx="2">
                  <c:v>2023</c:v>
                </c:pt>
                <c:pt idx="3">
                  <c:v>2024</c:v>
                </c:pt>
                <c:pt idx="4">
                  <c:v>2025</c:v>
                </c:pt>
              </c:strCache>
            </c:strRef>
          </c:cat>
          <c:val>
            <c:numRef>
              <c:f>HISTORICAL_OUTPUTS!$K$17:$O$17</c:f>
              <c:numCache>
                <c:formatCode>0.0</c:formatCode>
                <c:ptCount val="5"/>
                <c:pt idx="0">
                  <c:v>25.51</c:v>
                </c:pt>
                <c:pt idx="1">
                  <c:v>23.676</c:v>
                </c:pt>
                <c:pt idx="2">
                  <c:v>23.657</c:v>
                </c:pt>
                <c:pt idx="3">
                  <c:v>24.519</c:v>
                </c:pt>
                <c:pt idx="4">
                  <c:v>23.076</c:v>
                </c:pt>
              </c:numCache>
            </c:numRef>
          </c:val>
          <c:smooth val="0"/>
        </c:ser>
        <c:hiLowLines>
          <c:spPr>
            <a:ln w="0">
              <a:noFill/>
            </a:ln>
          </c:spPr>
        </c:hiLowLines>
        <c:marker val="1"/>
        <c:axId val="59251211"/>
        <c:axId val="47403751"/>
      </c:lineChart>
      <c:catAx>
        <c:axId val="5925121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403751"/>
        <c:crosses val="autoZero"/>
        <c:auto val="1"/>
        <c:lblAlgn val="ctr"/>
        <c:lblOffset val="100"/>
        <c:noMultiLvlLbl val="0"/>
      </c:catAx>
      <c:valAx>
        <c:axId val="47403751"/>
        <c:scaling>
          <c:orientation val="minMax"/>
        </c:scaling>
        <c:delete val="0"/>
        <c:axPos val="l"/>
        <c:majorGridlines>
          <c:spPr>
            <a:ln w="9360">
              <a:solidFill>
                <a:srgbClr val="e0e0e0"/>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25121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Chart 1 — 13-week liquidity profile (€m)</a:t>
            </a:r>
          </a:p>
        </c:rich>
      </c:tx>
      <c:overlay val="0"/>
      <c:spPr>
        <a:noFill/>
        <a:ln w="0">
          <a:noFill/>
        </a:ln>
      </c:spPr>
    </c:title>
    <c:autoTitleDeleted val="0"/>
    <c:plotArea>
      <c:lineChart>
        <c:grouping val="standard"/>
        <c:varyColors val="0"/>
        <c:ser>
          <c:idx val="0"/>
          <c:order val="0"/>
          <c:tx>
            <c:strRef>
              <c:f>"Projected cash before liquidity funding"</c:f>
              <c:strCache>
                <c:ptCount val="1"/>
                <c:pt idx="0">
                  <c:v>Projected cash before liquidity funding</c:v>
                </c:pt>
              </c:strCache>
            </c:strRef>
          </c:tx>
          <c:spPr>
            <a:solidFill>
              <a:srgbClr val="2a78d6"/>
            </a:solidFill>
            <a:ln w="2556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13W_FORECAST!$C$13:$O$13</c:f>
              <c:multiLvlStrCache>
                <c:ptCount val="1"/>
                <c:lvl>
                  <c:pt idx="0">
                    <c:v>W13</c:v>
                  </c:pt>
                </c:lvl>
                <c:lvl>
                  <c:pt idx="0">
                    <c:v>W12</c:v>
                  </c:pt>
                </c:lvl>
                <c:lvl>
                  <c:pt idx="0">
                    <c:v>W11</c:v>
                  </c:pt>
                </c:lvl>
                <c:lvl>
                  <c:pt idx="0">
                    <c:v>W10</c:v>
                  </c:pt>
                </c:lvl>
                <c:lvl>
                  <c:pt idx="0">
                    <c:v>W9</c:v>
                  </c:pt>
                </c:lvl>
                <c:lvl>
                  <c:pt idx="0">
                    <c:v>W8</c:v>
                  </c:pt>
                </c:lvl>
                <c:lvl>
                  <c:pt idx="0">
                    <c:v>W7</c:v>
                  </c:pt>
                </c:lvl>
                <c:lvl>
                  <c:pt idx="0">
                    <c:v>W6</c:v>
                  </c:pt>
                </c:lvl>
                <c:lvl>
                  <c:pt idx="0">
                    <c:v>W5</c:v>
                  </c:pt>
                </c:lvl>
                <c:lvl>
                  <c:pt idx="0">
                    <c:v>W4</c:v>
                  </c:pt>
                </c:lvl>
                <c:lvl>
                  <c:pt idx="0">
                    <c:v>W3</c:v>
                  </c:pt>
                </c:lvl>
                <c:lvl>
                  <c:pt idx="0">
                    <c:v>W2</c:v>
                  </c:pt>
                </c:lvl>
                <c:lvl>
                  <c:pt idx="0">
                    <c:v>W1</c:v>
                  </c:pt>
                </c:lvl>
              </c:multiLvlStrCache>
            </c:multiLvlStrRef>
          </c:cat>
          <c:val>
            <c:numRef>
              <c:f>13W_FORECAST!$C$60:$O$60</c:f>
              <c:numCache>
                <c:formatCode>#,##0;\(#,##0\);\-</c:formatCode>
                <c:ptCount val="13"/>
                <c:pt idx="0">
                  <c:v>4203.80769230769</c:v>
                </c:pt>
                <c:pt idx="1">
                  <c:v>4466.61538461539</c:v>
                </c:pt>
                <c:pt idx="2">
                  <c:v>4729.42307692308</c:v>
                </c:pt>
                <c:pt idx="3">
                  <c:v>4992.23076923077</c:v>
                </c:pt>
                <c:pt idx="4">
                  <c:v>4474.70512820513</c:v>
                </c:pt>
                <c:pt idx="5">
                  <c:v>4737.51282051282</c:v>
                </c:pt>
                <c:pt idx="6">
                  <c:v>5000.32051282051</c:v>
                </c:pt>
                <c:pt idx="7">
                  <c:v>5263.1282051282</c:v>
                </c:pt>
                <c:pt idx="8">
                  <c:v>4745.60256410256</c:v>
                </c:pt>
                <c:pt idx="9">
                  <c:v>5008.41025641026</c:v>
                </c:pt>
                <c:pt idx="10">
                  <c:v>5271.21794871795</c:v>
                </c:pt>
                <c:pt idx="11">
                  <c:v>5534.02564102564</c:v>
                </c:pt>
                <c:pt idx="12">
                  <c:v>5016.5</c:v>
                </c:pt>
              </c:numCache>
            </c:numRef>
          </c:val>
          <c:smooth val="0"/>
        </c:ser>
        <c:ser>
          <c:idx val="1"/>
          <c:order val="1"/>
          <c:tx>
            <c:strRef>
              <c:f>"Minimum liquidity buffer"</c:f>
              <c:strCache>
                <c:ptCount val="1"/>
                <c:pt idx="0">
                  <c:v>Minimum liquidity buffer</c:v>
                </c:pt>
              </c:strCache>
            </c:strRef>
          </c:tx>
          <c:spPr>
            <a:solidFill>
              <a:srgbClr val="eb6834"/>
            </a:solidFill>
            <a:ln w="25560">
              <a:solidFill>
                <a:srgbClr val="eb6834"/>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13W_FORECAST!$C$13:$O$13</c:f>
              <c:multiLvlStrCache>
                <c:ptCount val="1"/>
                <c:lvl>
                  <c:pt idx="0">
                    <c:v>W13</c:v>
                  </c:pt>
                </c:lvl>
                <c:lvl>
                  <c:pt idx="0">
                    <c:v>W12</c:v>
                  </c:pt>
                </c:lvl>
                <c:lvl>
                  <c:pt idx="0">
                    <c:v>W11</c:v>
                  </c:pt>
                </c:lvl>
                <c:lvl>
                  <c:pt idx="0">
                    <c:v>W10</c:v>
                  </c:pt>
                </c:lvl>
                <c:lvl>
                  <c:pt idx="0">
                    <c:v>W9</c:v>
                  </c:pt>
                </c:lvl>
                <c:lvl>
                  <c:pt idx="0">
                    <c:v>W8</c:v>
                  </c:pt>
                </c:lvl>
                <c:lvl>
                  <c:pt idx="0">
                    <c:v>W7</c:v>
                  </c:pt>
                </c:lvl>
                <c:lvl>
                  <c:pt idx="0">
                    <c:v>W6</c:v>
                  </c:pt>
                </c:lvl>
                <c:lvl>
                  <c:pt idx="0">
                    <c:v>W5</c:v>
                  </c:pt>
                </c:lvl>
                <c:lvl>
                  <c:pt idx="0">
                    <c:v>W4</c:v>
                  </c:pt>
                </c:lvl>
                <c:lvl>
                  <c:pt idx="0">
                    <c:v>W3</c:v>
                  </c:pt>
                </c:lvl>
                <c:lvl>
                  <c:pt idx="0">
                    <c:v>W2</c:v>
                  </c:pt>
                </c:lvl>
                <c:lvl>
                  <c:pt idx="0">
                    <c:v>W1</c:v>
                  </c:pt>
                </c:lvl>
              </c:multiLvlStrCache>
            </c:multiLvlStrRef>
          </c:cat>
          <c:val>
            <c:numRef>
              <c:f>LIQUIDITY_BUFFER!$C$24:$O$24</c:f>
              <c:numCache>
                <c:formatCode>#,##0;\(#,##0\);\-</c:formatCode>
                <c:ptCount val="13"/>
                <c:pt idx="0">
                  <c:v>3011.58076923077</c:v>
                </c:pt>
                <c:pt idx="1">
                  <c:v>3011.58076923077</c:v>
                </c:pt>
                <c:pt idx="2">
                  <c:v>3011.58076923077</c:v>
                </c:pt>
                <c:pt idx="3">
                  <c:v>3011.58076923077</c:v>
                </c:pt>
                <c:pt idx="4">
                  <c:v>3011.58076923077</c:v>
                </c:pt>
                <c:pt idx="5">
                  <c:v>3011.58076923077</c:v>
                </c:pt>
                <c:pt idx="6">
                  <c:v>3011.58076923077</c:v>
                </c:pt>
                <c:pt idx="7">
                  <c:v>3011.58076923077</c:v>
                </c:pt>
                <c:pt idx="8">
                  <c:v>3011.58076923077</c:v>
                </c:pt>
                <c:pt idx="9">
                  <c:v>3011.58076923077</c:v>
                </c:pt>
                <c:pt idx="10">
                  <c:v>3011.58076923077</c:v>
                </c:pt>
                <c:pt idx="11">
                  <c:v>3011.58076923077</c:v>
                </c:pt>
                <c:pt idx="12">
                  <c:v>3011.58076923077</c:v>
                </c:pt>
              </c:numCache>
            </c:numRef>
          </c:val>
          <c:smooth val="0"/>
        </c:ser>
        <c:ser>
          <c:idx val="2"/>
          <c:order val="2"/>
          <c:tx>
            <c:strRef>
              <c:f>"Total available liquidity (incl. undrawn facilities)"</c:f>
              <c:strCache>
                <c:ptCount val="1"/>
                <c:pt idx="0">
                  <c:v>Total available liquidity (incl. undrawn facilities)</c:v>
                </c:pt>
              </c:strCache>
            </c:strRef>
          </c:tx>
          <c:spPr>
            <a:solidFill>
              <a:srgbClr val="7f7f7f"/>
            </a:solidFill>
            <a:ln w="25560">
              <a:solidFill>
                <a:srgbClr val="7f7f7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13W_FORECAST!$C$13:$O$13</c:f>
              <c:multiLvlStrCache>
                <c:ptCount val="1"/>
                <c:lvl>
                  <c:pt idx="0">
                    <c:v>W13</c:v>
                  </c:pt>
                </c:lvl>
                <c:lvl>
                  <c:pt idx="0">
                    <c:v>W12</c:v>
                  </c:pt>
                </c:lvl>
                <c:lvl>
                  <c:pt idx="0">
                    <c:v>W11</c:v>
                  </c:pt>
                </c:lvl>
                <c:lvl>
                  <c:pt idx="0">
                    <c:v>W10</c:v>
                  </c:pt>
                </c:lvl>
                <c:lvl>
                  <c:pt idx="0">
                    <c:v>W9</c:v>
                  </c:pt>
                </c:lvl>
                <c:lvl>
                  <c:pt idx="0">
                    <c:v>W8</c:v>
                  </c:pt>
                </c:lvl>
                <c:lvl>
                  <c:pt idx="0">
                    <c:v>W7</c:v>
                  </c:pt>
                </c:lvl>
                <c:lvl>
                  <c:pt idx="0">
                    <c:v>W6</c:v>
                  </c:pt>
                </c:lvl>
                <c:lvl>
                  <c:pt idx="0">
                    <c:v>W5</c:v>
                  </c:pt>
                </c:lvl>
                <c:lvl>
                  <c:pt idx="0">
                    <c:v>W4</c:v>
                  </c:pt>
                </c:lvl>
                <c:lvl>
                  <c:pt idx="0">
                    <c:v>W3</c:v>
                  </c:pt>
                </c:lvl>
                <c:lvl>
                  <c:pt idx="0">
                    <c:v>W2</c:v>
                  </c:pt>
                </c:lvl>
                <c:lvl>
                  <c:pt idx="0">
                    <c:v>W1</c:v>
                  </c:pt>
                </c:lvl>
              </c:multiLvlStrCache>
            </c:multiLvlStrRef>
          </c:cat>
          <c:val>
            <c:numRef>
              <c:f>LIQUIDITY_BUFFER!$C$28:$O$28</c:f>
              <c:numCache>
                <c:formatCode>#,##0;\(#,##0\);\-</c:formatCode>
                <c:ptCount val="13"/>
                <c:pt idx="0">
                  <c:v>12190.3396072013</c:v>
                </c:pt>
                <c:pt idx="1">
                  <c:v>12453.147299509</c:v>
                </c:pt>
                <c:pt idx="2">
                  <c:v>12715.9549918167</c:v>
                </c:pt>
                <c:pt idx="3">
                  <c:v>12978.7626841244</c:v>
                </c:pt>
                <c:pt idx="4">
                  <c:v>12461.2370430987</c:v>
                </c:pt>
                <c:pt idx="5">
                  <c:v>12724.0447354064</c:v>
                </c:pt>
                <c:pt idx="6">
                  <c:v>12986.8524277141</c:v>
                </c:pt>
                <c:pt idx="7">
                  <c:v>13249.6601200218</c:v>
                </c:pt>
                <c:pt idx="8">
                  <c:v>12732.1344789962</c:v>
                </c:pt>
                <c:pt idx="9">
                  <c:v>12994.9421713039</c:v>
                </c:pt>
                <c:pt idx="10">
                  <c:v>13257.7498636116</c:v>
                </c:pt>
                <c:pt idx="11">
                  <c:v>13520.5575559193</c:v>
                </c:pt>
                <c:pt idx="12">
                  <c:v>13003.0319148936</c:v>
                </c:pt>
              </c:numCache>
            </c:numRef>
          </c:val>
          <c:smooth val="0"/>
        </c:ser>
        <c:hiLowLines>
          <c:spPr>
            <a:ln w="0">
              <a:noFill/>
            </a:ln>
          </c:spPr>
        </c:hiLowLines>
        <c:marker val="0"/>
        <c:axId val="18285271"/>
        <c:axId val="28939071"/>
      </c:lineChart>
      <c:catAx>
        <c:axId val="1828527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939071"/>
        <c:crosses val="autoZero"/>
        <c:auto val="1"/>
        <c:lblAlgn val="ctr"/>
        <c:lblOffset val="100"/>
        <c:noMultiLvlLbl val="0"/>
      </c:catAx>
      <c:valAx>
        <c:axId val="28939071"/>
        <c:scaling>
          <c:orientation val="minMax"/>
        </c:scaling>
        <c:delete val="0"/>
        <c:axPos val="l"/>
        <c:majorGridlines>
          <c:spPr>
            <a:ln w="9360">
              <a:solidFill>
                <a:srgbClr val="e0e0e0"/>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28527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Chart 2 — Funding requirement outstanding by week (€m, selected scenario)</a:t>
            </a:r>
          </a:p>
        </c:rich>
      </c:tx>
      <c:overlay val="0"/>
      <c:spPr>
        <a:noFill/>
        <a:ln w="0">
          <a:noFill/>
        </a:ln>
      </c:spPr>
    </c:title>
    <c:autoTitleDeleted val="0"/>
    <c:plotArea>
      <c:barChart>
        <c:barDir val="col"/>
        <c:grouping val="clustered"/>
        <c:varyColors val="0"/>
        <c:ser>
          <c:idx val="0"/>
          <c:order val="0"/>
          <c:tx>
            <c:strRef>
              <c:f>"Funding requirement (facility drawn)"</c:f>
              <c:strCache>
                <c:ptCount val="1"/>
                <c:pt idx="0">
                  <c:v>Funding requirement (facility drawn)</c:v>
                </c:pt>
              </c:strCache>
            </c:strRef>
          </c:tx>
          <c:spPr>
            <a:solidFill>
              <a:srgbClr val="eb6834"/>
            </a:solidFill>
            <a:ln w="0">
              <a:solidFill>
                <a:srgbClr val="eb683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13W_FORECAST!$C$13:$O$13</c:f>
              <c:multiLvlStrCache>
                <c:ptCount val="1"/>
                <c:lvl>
                  <c:pt idx="0">
                    <c:v>W13</c:v>
                  </c:pt>
                </c:lvl>
                <c:lvl>
                  <c:pt idx="0">
                    <c:v>W12</c:v>
                  </c:pt>
                </c:lvl>
                <c:lvl>
                  <c:pt idx="0">
                    <c:v>W11</c:v>
                  </c:pt>
                </c:lvl>
                <c:lvl>
                  <c:pt idx="0">
                    <c:v>W10</c:v>
                  </c:pt>
                </c:lvl>
                <c:lvl>
                  <c:pt idx="0">
                    <c:v>W9</c:v>
                  </c:pt>
                </c:lvl>
                <c:lvl>
                  <c:pt idx="0">
                    <c:v>W8</c:v>
                  </c:pt>
                </c:lvl>
                <c:lvl>
                  <c:pt idx="0">
                    <c:v>W7</c:v>
                  </c:pt>
                </c:lvl>
                <c:lvl>
                  <c:pt idx="0">
                    <c:v>W6</c:v>
                  </c:pt>
                </c:lvl>
                <c:lvl>
                  <c:pt idx="0">
                    <c:v>W5</c:v>
                  </c:pt>
                </c:lvl>
                <c:lvl>
                  <c:pt idx="0">
                    <c:v>W4</c:v>
                  </c:pt>
                </c:lvl>
                <c:lvl>
                  <c:pt idx="0">
                    <c:v>W3</c:v>
                  </c:pt>
                </c:lvl>
                <c:lvl>
                  <c:pt idx="0">
                    <c:v>W2</c:v>
                  </c:pt>
                </c:lvl>
                <c:lvl>
                  <c:pt idx="0">
                    <c:v>W1</c:v>
                  </c:pt>
                </c:lvl>
              </c:multiLvlStrCache>
            </c:multiLvlStrRef>
          </c:cat>
          <c:val>
            <c:numRef>
              <c:f>FUNDING!$C$15:$O$15</c:f>
              <c:numCache>
                <c:formatCode>#,##0;\(#,##0\);\-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gapWidth val="150"/>
        <c:overlap val="0"/>
        <c:axId val="8705140"/>
        <c:axId val="13240862"/>
      </c:barChart>
      <c:catAx>
        <c:axId val="870514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240862"/>
        <c:crosses val="autoZero"/>
        <c:auto val="1"/>
        <c:lblAlgn val="ctr"/>
        <c:lblOffset val="100"/>
        <c:noMultiLvlLbl val="0"/>
      </c:catAx>
      <c:valAx>
        <c:axId val="13240862"/>
        <c:scaling>
          <c:orientation val="minMax"/>
        </c:scaling>
        <c:delete val="0"/>
        <c:axPos val="l"/>
        <c:majorGridlines>
          <c:spPr>
            <a:ln w="9360">
              <a:solidFill>
                <a:srgbClr val="e0e0e0"/>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0514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_rels/drawing2.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60</xdr:row>
      <xdr:rowOff>56160</xdr:rowOff>
    </xdr:from>
    <xdr:to>
      <xdr:col>3</xdr:col>
      <xdr:colOff>762840</xdr:colOff>
      <xdr:row>75</xdr:row>
      <xdr:rowOff>78120</xdr:rowOff>
    </xdr:to>
    <xdr:graphicFrame>
      <xdr:nvGraphicFramePr>
        <xdr:cNvPr id="0" name="Chart 1"/>
        <xdr:cNvGraphicFramePr/>
      </xdr:nvGraphicFramePr>
      <xdr:xfrm>
        <a:off x="0" y="12192120"/>
        <a:ext cx="61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77</xdr:row>
      <xdr:rowOff>56160</xdr:rowOff>
    </xdr:from>
    <xdr:to>
      <xdr:col>3</xdr:col>
      <xdr:colOff>762840</xdr:colOff>
      <xdr:row>92</xdr:row>
      <xdr:rowOff>78120</xdr:rowOff>
    </xdr:to>
    <xdr:graphicFrame>
      <xdr:nvGraphicFramePr>
        <xdr:cNvPr id="1" name="Chart 2"/>
        <xdr:cNvGraphicFramePr/>
      </xdr:nvGraphicFramePr>
      <xdr:xfrm>
        <a:off x="0" y="15430680"/>
        <a:ext cx="61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94</xdr:row>
      <xdr:rowOff>55800</xdr:rowOff>
    </xdr:from>
    <xdr:to>
      <xdr:col>3</xdr:col>
      <xdr:colOff>762840</xdr:colOff>
      <xdr:row>109</xdr:row>
      <xdr:rowOff>77760</xdr:rowOff>
    </xdr:to>
    <xdr:graphicFrame>
      <xdr:nvGraphicFramePr>
        <xdr:cNvPr id="2" name="Chart 3"/>
        <xdr:cNvGraphicFramePr/>
      </xdr:nvGraphicFramePr>
      <xdr:xfrm>
        <a:off x="0" y="18668880"/>
        <a:ext cx="611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34</xdr:row>
      <xdr:rowOff>176040</xdr:rowOff>
    </xdr:from>
    <xdr:to>
      <xdr:col>3</xdr:col>
      <xdr:colOff>136080</xdr:colOff>
      <xdr:row>50</xdr:row>
      <xdr:rowOff>7560</xdr:rowOff>
    </xdr:to>
    <xdr:graphicFrame>
      <xdr:nvGraphicFramePr>
        <xdr:cNvPr id="3" name="Chart 1"/>
        <xdr:cNvGraphicFramePr/>
      </xdr:nvGraphicFramePr>
      <xdr:xfrm>
        <a:off x="0" y="666756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51</xdr:row>
      <xdr:rowOff>176040</xdr:rowOff>
    </xdr:from>
    <xdr:to>
      <xdr:col>3</xdr:col>
      <xdr:colOff>136080</xdr:colOff>
      <xdr:row>67</xdr:row>
      <xdr:rowOff>7560</xdr:rowOff>
    </xdr:to>
    <xdr:graphicFrame>
      <xdr:nvGraphicFramePr>
        <xdr:cNvPr id="4" name="Chart 2"/>
        <xdr:cNvGraphicFramePr/>
      </xdr:nvGraphicFramePr>
      <xdr:xfrm>
        <a:off x="0" y="9906120"/>
        <a:ext cx="647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_rels/sheet1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6.1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43.5" hidden="false" customHeight="true" outlineLevel="0" collapsed="false">
      <c r="A6" s="2" t="s">
        <v>7</v>
      </c>
      <c r="B6" s="3" t="s">
        <v>8</v>
      </c>
    </row>
    <row r="7" customFormat="false" ht="15" hidden="false" customHeight="false" outlineLevel="0" collapsed="false">
      <c r="A7" s="2" t="s">
        <v>9</v>
      </c>
      <c r="B7" s="3" t="s">
        <v>10</v>
      </c>
    </row>
    <row r="8" customFormat="false" ht="55.5" hidden="false" customHeight="true" outlineLevel="0" collapsed="false">
      <c r="A8" s="2" t="s">
        <v>11</v>
      </c>
      <c r="B8" s="3" t="s">
        <v>12</v>
      </c>
    </row>
    <row r="9" customFormat="false" ht="15" hidden="false" customHeight="false" outlineLevel="0" collapsed="false">
      <c r="A9" s="2" t="s">
        <v>13</v>
      </c>
      <c r="B9" s="3" t="s">
        <v>14</v>
      </c>
    </row>
    <row r="10" customFormat="false" ht="43.5" hidden="false" customHeight="true" outlineLevel="0" collapsed="false">
      <c r="A10" s="2" t="s">
        <v>15</v>
      </c>
      <c r="B10" s="3" t="s">
        <v>16</v>
      </c>
    </row>
    <row r="11" customFormat="false" ht="23.85" hidden="false" customHeight="false" outlineLevel="0" collapsed="false">
      <c r="A11" s="2" t="s">
        <v>17</v>
      </c>
      <c r="B11" s="3" t="s">
        <v>18</v>
      </c>
    </row>
    <row r="12" customFormat="false" ht="15" hidden="false" customHeight="false" outlineLevel="0" collapsed="false">
      <c r="A12" s="2" t="s">
        <v>19</v>
      </c>
      <c r="B12" s="4" t="str">
        <f aca="false">HISTORICAL_CHECKS!$B$10</f>
        <v>COMPLETE — all core checks PASS</v>
      </c>
    </row>
    <row r="13" customFormat="false" ht="43.5" hidden="false" customHeight="true" outlineLevel="0" collapsed="false">
      <c r="A13" s="2" t="s">
        <v>20</v>
      </c>
      <c r="B13" s="3" t="s">
        <v>21</v>
      </c>
    </row>
    <row r="14" customFormat="false" ht="35.05" hidden="false" customHeight="false" outlineLevel="0" collapsed="false">
      <c r="A14" s="2" t="s">
        <v>22</v>
      </c>
      <c r="B14" s="3" t="s">
        <v>23</v>
      </c>
    </row>
    <row r="15" customFormat="false" ht="23.85" hidden="false" customHeight="false" outlineLevel="0" collapsed="false">
      <c r="A15" s="2" t="s">
        <v>24</v>
      </c>
      <c r="B15" s="3" t="s">
        <v>25</v>
      </c>
    </row>
    <row r="16" customFormat="false" ht="23.85" hidden="false" customHeight="false" outlineLevel="0" collapsed="false">
      <c r="A16" s="2" t="s">
        <v>26</v>
      </c>
      <c r="B16" s="3" t="s">
        <v>27</v>
      </c>
    </row>
    <row r="17" customFormat="false" ht="23.85" hidden="false" customHeight="false" outlineLevel="0" collapsed="false">
      <c r="A17" s="2" t="s">
        <v>28</v>
      </c>
      <c r="B17" s="3" t="s">
        <v>29</v>
      </c>
    </row>
    <row r="18" customFormat="false" ht="23.85" hidden="false" customHeight="false" outlineLevel="0" collapsed="false">
      <c r="A18" s="2" t="s">
        <v>30</v>
      </c>
      <c r="B18" s="3" t="s">
        <v>31</v>
      </c>
    </row>
    <row r="19" customFormat="false" ht="23.85" hidden="false" customHeight="false" outlineLevel="0" collapsed="false">
      <c r="A19" s="2" t="s">
        <v>32</v>
      </c>
      <c r="B19" s="3"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3" min="2" style="0" width="11"/>
    <col collapsed="false" customWidth="true" hidden="false" outlineLevel="0" max="4" min="4" style="0" width="13"/>
    <col collapsed="false" customWidth="true" hidden="false" outlineLevel="0" max="5" min="5" style="0" width="14"/>
    <col collapsed="false" customWidth="true" hidden="false" outlineLevel="0" max="7" min="6" style="0" width="11"/>
    <col collapsed="false" customWidth="true" hidden="false" outlineLevel="0" max="8" min="8" style="0" width="24"/>
    <col collapsed="false" customWidth="true" hidden="false" outlineLevel="0" max="9" min="9" style="0" width="44"/>
    <col collapsed="false" customWidth="true" hidden="false" outlineLevel="0" max="10" min="10" style="0" width="60"/>
  </cols>
  <sheetData>
    <row r="1" customFormat="false" ht="16.15" hidden="false" customHeight="false" outlineLevel="0" collapsed="false">
      <c r="A1" s="1" t="s">
        <v>34</v>
      </c>
    </row>
    <row r="2" customFormat="false" ht="15" hidden="false" customHeight="false" outlineLevel="0" collapsed="false">
      <c r="A2" s="5" t="s">
        <v>35</v>
      </c>
    </row>
    <row r="4" customFormat="false" ht="23.85" hidden="false" customHeight="false" outlineLevel="0" collapsed="false">
      <c r="A4" s="6" t="s">
        <v>36</v>
      </c>
      <c r="B4" s="6" t="s">
        <v>37</v>
      </c>
      <c r="C4" s="6" t="s">
        <v>38</v>
      </c>
      <c r="D4" s="6" t="s">
        <v>39</v>
      </c>
      <c r="E4" s="6" t="s">
        <v>40</v>
      </c>
      <c r="F4" s="6" t="s">
        <v>41</v>
      </c>
      <c r="G4" s="6" t="s">
        <v>42</v>
      </c>
      <c r="H4" s="6" t="s">
        <v>43</v>
      </c>
      <c r="I4" s="6" t="s">
        <v>44</v>
      </c>
      <c r="J4" s="6" t="s">
        <v>45</v>
      </c>
    </row>
    <row r="5" customFormat="false" ht="15" hidden="false" customHeight="false" outlineLevel="0" collapsed="false">
      <c r="A5" s="7" t="s">
        <v>46</v>
      </c>
      <c r="B5" s="8"/>
      <c r="C5" s="8"/>
      <c r="D5" s="8"/>
      <c r="E5" s="8"/>
      <c r="F5" s="8"/>
      <c r="G5" s="8"/>
      <c r="H5" s="8"/>
      <c r="I5" s="8"/>
      <c r="J5" s="8"/>
    </row>
    <row r="6" customFormat="false" ht="15" hidden="false" customHeight="false" outlineLevel="0" collapsed="false">
      <c r="A6" s="9" t="s">
        <v>47</v>
      </c>
      <c r="B6" s="10" t="n">
        <v>52444</v>
      </c>
      <c r="C6" s="10" t="n">
        <v>60073</v>
      </c>
      <c r="D6" s="10" t="n">
        <v>59604</v>
      </c>
      <c r="E6" s="10" t="n">
        <v>51680</v>
      </c>
      <c r="F6" s="10" t="n">
        <v>52479</v>
      </c>
      <c r="G6" s="10" t="n">
        <v>50503</v>
      </c>
      <c r="H6" s="9" t="s">
        <v>48</v>
      </c>
      <c r="I6" s="11" t="s">
        <v>49</v>
      </c>
      <c r="J6" s="11" t="s">
        <v>50</v>
      </c>
    </row>
    <row r="7" customFormat="false" ht="15" hidden="false" customHeight="false" outlineLevel="0" collapsed="false">
      <c r="A7" s="9" t="s">
        <v>51</v>
      </c>
      <c r="B7" s="10" t="n">
        <v>30259</v>
      </c>
      <c r="C7" s="10" t="n">
        <v>35906</v>
      </c>
      <c r="D7" s="10" t="n">
        <v>34429</v>
      </c>
      <c r="E7" s="10" t="n">
        <v>29180</v>
      </c>
      <c r="F7" s="10" t="n">
        <v>27976</v>
      </c>
      <c r="G7" s="10" t="n">
        <v>26794</v>
      </c>
      <c r="H7" s="9" t="s">
        <v>48</v>
      </c>
      <c r="I7" s="11" t="s">
        <v>52</v>
      </c>
      <c r="J7" s="11" t="s">
        <v>53</v>
      </c>
    </row>
    <row r="8" customFormat="false" ht="15" hidden="false" customHeight="false" outlineLevel="0" collapsed="false">
      <c r="A8" s="9" t="s">
        <v>54</v>
      </c>
      <c r="B8" s="10" t="n">
        <v>8702</v>
      </c>
      <c r="C8" s="10" t="n">
        <v>10755</v>
      </c>
      <c r="D8" s="10" t="n">
        <v>9758</v>
      </c>
      <c r="E8" s="10" t="n">
        <v>8998</v>
      </c>
      <c r="F8" s="10" t="n">
        <v>8829</v>
      </c>
      <c r="G8" s="10" t="n">
        <v>9037</v>
      </c>
      <c r="H8" s="9" t="s">
        <v>48</v>
      </c>
      <c r="I8" s="11" t="s">
        <v>55</v>
      </c>
      <c r="J8" s="11"/>
    </row>
    <row r="9" customFormat="false" ht="43.25" hidden="false" customHeight="false" outlineLevel="0" collapsed="false">
      <c r="A9" s="9" t="s">
        <v>56</v>
      </c>
      <c r="B9" s="10" t="n">
        <v>354</v>
      </c>
      <c r="C9" s="10" t="n">
        <v>493</v>
      </c>
      <c r="D9" s="10" t="n">
        <v>486</v>
      </c>
      <c r="E9" s="10" t="n">
        <v>408</v>
      </c>
      <c r="F9" s="10" t="n">
        <v>520</v>
      </c>
      <c r="G9" s="10" t="n">
        <v>503</v>
      </c>
      <c r="H9" s="9" t="s">
        <v>48</v>
      </c>
      <c r="I9" s="11" t="s">
        <v>57</v>
      </c>
      <c r="J9" s="11" t="s">
        <v>58</v>
      </c>
    </row>
    <row r="10" customFormat="false" ht="43.25" hidden="false" customHeight="false" outlineLevel="0" collapsed="false">
      <c r="A10" s="9" t="s">
        <v>59</v>
      </c>
      <c r="B10" s="10" t="n">
        <v>-74</v>
      </c>
      <c r="C10" s="10" t="n">
        <v>-157</v>
      </c>
      <c r="D10" s="10" t="n">
        <v>-142</v>
      </c>
      <c r="E10" s="10" t="n">
        <v>-169</v>
      </c>
      <c r="F10" s="10" t="n">
        <v>-201</v>
      </c>
      <c r="G10" s="10" t="n">
        <v>-68</v>
      </c>
      <c r="H10" s="9" t="s">
        <v>48</v>
      </c>
      <c r="I10" s="11" t="s">
        <v>60</v>
      </c>
      <c r="J10" s="11" t="s">
        <v>61</v>
      </c>
    </row>
    <row r="11" customFormat="false" ht="43.25" hidden="false" customHeight="false" outlineLevel="0" collapsed="false">
      <c r="A11" s="9" t="s">
        <v>62</v>
      </c>
      <c r="B11" s="10" t="n">
        <v>191</v>
      </c>
      <c r="C11" s="10" t="n">
        <v>208</v>
      </c>
      <c r="D11" s="10" t="n">
        <v>231</v>
      </c>
      <c r="E11" s="10" t="n">
        <v>228</v>
      </c>
      <c r="F11" s="10" t="n">
        <v>250</v>
      </c>
      <c r="G11" s="10" t="n">
        <v>245</v>
      </c>
      <c r="H11" s="9" t="s">
        <v>48</v>
      </c>
      <c r="I11" s="11" t="s">
        <v>63</v>
      </c>
      <c r="J11" s="11" t="s">
        <v>64</v>
      </c>
    </row>
    <row r="12" customFormat="false" ht="43.25" hidden="false" customHeight="false" outlineLevel="0" collapsed="false">
      <c r="A12" s="9" t="s">
        <v>65</v>
      </c>
      <c r="B12" s="10" t="n">
        <v>91</v>
      </c>
      <c r="C12" s="10" t="n">
        <v>24</v>
      </c>
      <c r="D12" s="10" t="n">
        <v>-22</v>
      </c>
      <c r="E12" s="10" t="n">
        <v>-22</v>
      </c>
      <c r="F12" s="10" t="n">
        <v>13</v>
      </c>
      <c r="G12" s="10" t="n">
        <v>-17</v>
      </c>
      <c r="H12" s="9" t="s">
        <v>48</v>
      </c>
      <c r="I12" s="11" t="s">
        <v>66</v>
      </c>
      <c r="J12" s="11" t="s">
        <v>64</v>
      </c>
    </row>
    <row r="13" customFormat="false" ht="43.25" hidden="false" customHeight="false" outlineLevel="0" collapsed="false">
      <c r="A13" s="9" t="s">
        <v>67</v>
      </c>
      <c r="B13" s="10" t="n">
        <v>8556</v>
      </c>
      <c r="C13" s="10" t="n">
        <v>10337</v>
      </c>
      <c r="D13" s="10" t="n">
        <v>9339</v>
      </c>
      <c r="E13" s="10" t="n">
        <v>8627</v>
      </c>
      <c r="F13" s="10" t="n">
        <v>8371</v>
      </c>
      <c r="G13" s="10" t="n">
        <v>8693</v>
      </c>
      <c r="H13" s="9" t="s">
        <v>48</v>
      </c>
      <c r="I13" s="11" t="s">
        <v>68</v>
      </c>
      <c r="J13" s="11" t="s">
        <v>69</v>
      </c>
    </row>
    <row r="14" customFormat="false" ht="22.35" hidden="false" customHeight="false" outlineLevel="0" collapsed="false">
      <c r="A14" s="9" t="s">
        <v>70</v>
      </c>
      <c r="B14" s="10" t="n">
        <v>1935</v>
      </c>
      <c r="C14" s="10" t="n">
        <v>2068</v>
      </c>
      <c r="D14" s="10" t="n">
        <v>2199</v>
      </c>
      <c r="E14" s="10" t="n">
        <v>1990</v>
      </c>
      <c r="F14" s="10" t="n">
        <v>2332</v>
      </c>
      <c r="G14" s="10" t="n">
        <v>2481</v>
      </c>
      <c r="H14" s="9" t="s">
        <v>48</v>
      </c>
      <c r="I14" s="11" t="s">
        <v>71</v>
      </c>
      <c r="J14" s="11" t="s">
        <v>72</v>
      </c>
    </row>
    <row r="15" customFormat="false" ht="22.35" hidden="false" customHeight="false" outlineLevel="0" collapsed="false">
      <c r="A15" s="9" t="s">
        <v>73</v>
      </c>
      <c r="B15" s="10" t="n">
        <v>6621</v>
      </c>
      <c r="C15" s="10" t="n">
        <v>8269</v>
      </c>
      <c r="D15" s="10" t="n">
        <v>7140</v>
      </c>
      <c r="E15" s="10" t="n">
        <v>6637</v>
      </c>
      <c r="F15" s="10" t="n">
        <v>6039</v>
      </c>
      <c r="G15" s="10" t="n">
        <v>6213</v>
      </c>
      <c r="H15" s="9" t="s">
        <v>48</v>
      </c>
      <c r="I15" s="11" t="s">
        <v>74</v>
      </c>
      <c r="J15" s="11" t="s">
        <v>75</v>
      </c>
    </row>
    <row r="16" customFormat="false" ht="15" hidden="false" customHeight="false" outlineLevel="0" collapsed="false">
      <c r="A16" s="7" t="s">
        <v>76</v>
      </c>
      <c r="B16" s="8"/>
      <c r="C16" s="8"/>
      <c r="D16" s="8"/>
      <c r="E16" s="8"/>
      <c r="F16" s="8"/>
      <c r="G16" s="8"/>
      <c r="H16" s="8"/>
      <c r="I16" s="8"/>
      <c r="J16" s="8"/>
    </row>
    <row r="17" customFormat="false" ht="22.35" hidden="false" customHeight="false" outlineLevel="0" collapsed="false">
      <c r="A17" s="9" t="s">
        <v>77</v>
      </c>
      <c r="B17" s="10" t="n">
        <v>4683</v>
      </c>
      <c r="C17" s="10" t="n">
        <v>5931</v>
      </c>
      <c r="D17" s="10" t="n">
        <v>5119</v>
      </c>
      <c r="E17" s="12"/>
      <c r="F17" s="10" t="n">
        <v>5177</v>
      </c>
      <c r="G17" s="10" t="n">
        <v>4043</v>
      </c>
      <c r="H17" s="9" t="s">
        <v>48</v>
      </c>
      <c r="I17" s="11" t="s">
        <v>78</v>
      </c>
      <c r="J17" s="11"/>
    </row>
    <row r="18" customFormat="false" ht="22.35" hidden="false" customHeight="false" outlineLevel="0" collapsed="false">
      <c r="A18" s="9" t="s">
        <v>79</v>
      </c>
      <c r="B18" s="10" t="n">
        <v>3582</v>
      </c>
      <c r="C18" s="10" t="n">
        <v>4544</v>
      </c>
      <c r="D18" s="10" t="n">
        <v>4023</v>
      </c>
      <c r="E18" s="12"/>
      <c r="F18" s="10" t="n">
        <v>4227</v>
      </c>
      <c r="G18" s="10" t="n">
        <v>4852</v>
      </c>
      <c r="H18" s="9" t="s">
        <v>48</v>
      </c>
      <c r="I18" s="11" t="s">
        <v>80</v>
      </c>
      <c r="J18" s="11"/>
    </row>
    <row r="19" customFormat="false" ht="22.35" hidden="false" customHeight="false" outlineLevel="0" collapsed="false">
      <c r="A19" s="9" t="s">
        <v>81</v>
      </c>
      <c r="B19" s="10" t="n">
        <v>5422</v>
      </c>
      <c r="C19" s="10" t="n">
        <v>7056</v>
      </c>
      <c r="D19" s="10" t="n">
        <v>5775</v>
      </c>
      <c r="E19" s="12"/>
      <c r="F19" s="10" t="n">
        <v>6011</v>
      </c>
      <c r="G19" s="10" t="n">
        <v>7346</v>
      </c>
      <c r="H19" s="9" t="s">
        <v>48</v>
      </c>
      <c r="I19" s="11" t="s">
        <v>82</v>
      </c>
      <c r="J19" s="11" t="s">
        <v>83</v>
      </c>
    </row>
    <row r="20" customFormat="false" ht="22.35" hidden="false" customHeight="false" outlineLevel="0" collapsed="false">
      <c r="A20" s="9" t="s">
        <v>84</v>
      </c>
      <c r="B20" s="10" t="n">
        <v>8896</v>
      </c>
      <c r="C20" s="10" t="n">
        <v>11100</v>
      </c>
      <c r="D20" s="10" t="n">
        <v>10355</v>
      </c>
      <c r="E20" s="12"/>
      <c r="F20" s="10" t="n">
        <v>10258</v>
      </c>
      <c r="G20" s="10" t="n">
        <v>10994</v>
      </c>
      <c r="H20" s="9" t="s">
        <v>48</v>
      </c>
      <c r="I20" s="11" t="s">
        <v>85</v>
      </c>
      <c r="J20" s="11"/>
    </row>
    <row r="21" customFormat="false" ht="22.35" hidden="false" customHeight="false" outlineLevel="0" collapsed="false">
      <c r="A21" s="9" t="s">
        <v>86</v>
      </c>
      <c r="B21" s="10" t="n">
        <v>4429</v>
      </c>
      <c r="C21" s="10" t="n">
        <v>5232</v>
      </c>
      <c r="D21" s="10" t="n">
        <v>5057</v>
      </c>
      <c r="E21" s="12"/>
      <c r="F21" s="10" t="n">
        <v>5053</v>
      </c>
      <c r="G21" s="10" t="n">
        <v>4649</v>
      </c>
      <c r="H21" s="9" t="s">
        <v>48</v>
      </c>
      <c r="I21" s="11" t="s">
        <v>87</v>
      </c>
      <c r="J21" s="11"/>
    </row>
    <row r="22" customFormat="false" ht="22.35" hidden="false" customHeight="false" outlineLevel="0" collapsed="false">
      <c r="A22" s="9" t="s">
        <v>88</v>
      </c>
      <c r="B22" s="10" t="n">
        <v>14861</v>
      </c>
      <c r="C22" s="10" t="n">
        <v>18023</v>
      </c>
      <c r="D22" s="10" t="n">
        <v>16857</v>
      </c>
      <c r="E22" s="12"/>
      <c r="F22" s="10" t="n">
        <v>16690</v>
      </c>
      <c r="G22" s="10" t="n">
        <v>16939</v>
      </c>
      <c r="H22" s="9" t="s">
        <v>48</v>
      </c>
      <c r="I22" s="11" t="s">
        <v>89</v>
      </c>
      <c r="J22" s="11" t="s">
        <v>90</v>
      </c>
    </row>
    <row r="23" customFormat="false" ht="15" hidden="false" customHeight="false" outlineLevel="0" collapsed="false">
      <c r="A23" s="7" t="s">
        <v>91</v>
      </c>
      <c r="B23" s="8"/>
      <c r="C23" s="8"/>
      <c r="D23" s="8"/>
      <c r="E23" s="8"/>
      <c r="F23" s="8"/>
      <c r="G23" s="8"/>
      <c r="H23" s="8"/>
      <c r="I23" s="8"/>
      <c r="J23" s="8"/>
    </row>
    <row r="24" customFormat="false" ht="22.35" hidden="false" customHeight="false" outlineLevel="0" collapsed="false">
      <c r="A24" s="9" t="s">
        <v>92</v>
      </c>
      <c r="B24" s="10" t="n">
        <v>3415</v>
      </c>
      <c r="C24" s="10" t="n">
        <v>4326</v>
      </c>
      <c r="D24" s="10" t="n">
        <v>4159</v>
      </c>
      <c r="E24" s="12"/>
      <c r="F24" s="10" t="n">
        <v>6136</v>
      </c>
      <c r="G24" s="10" t="n">
        <v>3941</v>
      </c>
      <c r="H24" s="9" t="s">
        <v>48</v>
      </c>
      <c r="I24" s="11" t="s">
        <v>93</v>
      </c>
      <c r="J24" s="11"/>
    </row>
    <row r="25" customFormat="false" ht="22.35" hidden="false" customHeight="false" outlineLevel="0" collapsed="false">
      <c r="A25" s="9" t="s">
        <v>94</v>
      </c>
      <c r="B25" s="10" t="n">
        <v>106</v>
      </c>
      <c r="C25" s="10" t="n">
        <v>101</v>
      </c>
      <c r="D25" s="10" t="n">
        <v>116</v>
      </c>
      <c r="E25" s="12"/>
      <c r="F25" s="10" t="n">
        <v>180</v>
      </c>
      <c r="G25" s="10" t="n">
        <v>65</v>
      </c>
      <c r="H25" s="9" t="s">
        <v>48</v>
      </c>
      <c r="I25" s="11" t="s">
        <v>95</v>
      </c>
      <c r="J25" s="11" t="s">
        <v>96</v>
      </c>
    </row>
    <row r="26" customFormat="false" ht="43.25" hidden="false" customHeight="false" outlineLevel="0" collapsed="false">
      <c r="A26" s="9" t="s">
        <v>97</v>
      </c>
      <c r="B26" s="10" t="n">
        <v>-78</v>
      </c>
      <c r="C26" s="10" t="n">
        <v>0</v>
      </c>
      <c r="D26" s="10" t="n">
        <v>-2</v>
      </c>
      <c r="E26" s="12"/>
      <c r="F26" s="10" t="n">
        <v>6</v>
      </c>
      <c r="G26" s="10" t="n">
        <v>6</v>
      </c>
      <c r="H26" s="9" t="s">
        <v>48</v>
      </c>
      <c r="I26" s="11" t="s">
        <v>98</v>
      </c>
      <c r="J26" s="11" t="s">
        <v>99</v>
      </c>
    </row>
    <row r="27" customFormat="false" ht="22.35" hidden="false" customHeight="false" outlineLevel="0" collapsed="false">
      <c r="A27" s="9" t="s">
        <v>100</v>
      </c>
      <c r="B27" s="10" t="n">
        <v>1156</v>
      </c>
      <c r="C27" s="10" t="n">
        <v>1435</v>
      </c>
      <c r="D27" s="10" t="n">
        <v>1731</v>
      </c>
      <c r="E27" s="12"/>
      <c r="F27" s="10" t="n">
        <v>1330</v>
      </c>
      <c r="G27" s="10" t="n">
        <v>1121</v>
      </c>
      <c r="H27" s="9" t="s">
        <v>48</v>
      </c>
      <c r="I27" s="11" t="s">
        <v>101</v>
      </c>
      <c r="J27" s="11"/>
    </row>
    <row r="28" customFormat="false" ht="22.35" hidden="false" customHeight="false" outlineLevel="0" collapsed="false">
      <c r="A28" s="9" t="s">
        <v>102</v>
      </c>
      <c r="B28" s="10" t="n">
        <v>52</v>
      </c>
      <c r="C28" s="10" t="n">
        <v>51</v>
      </c>
      <c r="D28" s="10" t="n">
        <v>75</v>
      </c>
      <c r="E28" s="12"/>
      <c r="F28" s="10" t="n">
        <v>68</v>
      </c>
      <c r="G28" s="10" t="n">
        <v>140</v>
      </c>
      <c r="H28" s="9" t="s">
        <v>48</v>
      </c>
      <c r="I28" s="11" t="s">
        <v>103</v>
      </c>
      <c r="J28" s="11" t="s">
        <v>104</v>
      </c>
    </row>
    <row r="29" customFormat="false" ht="22.35" hidden="false" customHeight="false" outlineLevel="0" collapsed="false">
      <c r="A29" s="9" t="s">
        <v>105</v>
      </c>
      <c r="B29" s="10" t="n">
        <v>7252</v>
      </c>
      <c r="C29" s="10" t="n">
        <v>5775</v>
      </c>
      <c r="D29" s="10" t="n">
        <v>5087</v>
      </c>
      <c r="E29" s="12"/>
      <c r="F29" s="10" t="n">
        <v>6987</v>
      </c>
      <c r="G29" s="10" t="n">
        <v>2582</v>
      </c>
      <c r="H29" s="9" t="s">
        <v>48</v>
      </c>
      <c r="I29" s="11" t="s">
        <v>106</v>
      </c>
      <c r="J29" s="11"/>
    </row>
    <row r="30" customFormat="false" ht="22.35" hidden="false" customHeight="false" outlineLevel="0" collapsed="false">
      <c r="A30" s="9" t="s">
        <v>107</v>
      </c>
      <c r="B30" s="10" t="n">
        <v>22881</v>
      </c>
      <c r="C30" s="10" t="n">
        <v>23713</v>
      </c>
      <c r="D30" s="10" t="n">
        <v>24535</v>
      </c>
      <c r="E30" s="12"/>
      <c r="F30" s="10" t="n">
        <v>25066</v>
      </c>
      <c r="G30" s="10" t="n">
        <v>25696</v>
      </c>
      <c r="H30" s="9" t="s">
        <v>48</v>
      </c>
      <c r="I30" s="11" t="s">
        <v>108</v>
      </c>
      <c r="J30" s="11"/>
    </row>
    <row r="31" customFormat="false" ht="22.35" hidden="false" customHeight="false" outlineLevel="0" collapsed="false">
      <c r="A31" s="9" t="s">
        <v>109</v>
      </c>
      <c r="B31" s="10" t="n">
        <v>30133</v>
      </c>
      <c r="C31" s="10" t="n">
        <v>29488</v>
      </c>
      <c r="D31" s="10" t="n">
        <v>29622</v>
      </c>
      <c r="E31" s="12"/>
      <c r="F31" s="10" t="n">
        <v>32053</v>
      </c>
      <c r="G31" s="10" t="n">
        <v>28278</v>
      </c>
      <c r="H31" s="9" t="s">
        <v>48</v>
      </c>
      <c r="I31" s="11" t="s">
        <v>110</v>
      </c>
      <c r="J31" s="11"/>
    </row>
    <row r="32" customFormat="false" ht="22.35" hidden="false" customHeight="false" outlineLevel="0" collapsed="false">
      <c r="A32" s="9" t="s">
        <v>111</v>
      </c>
      <c r="B32" s="10" t="n">
        <v>25510</v>
      </c>
      <c r="C32" s="10" t="n">
        <v>23676</v>
      </c>
      <c r="D32" s="10" t="n">
        <v>23657</v>
      </c>
      <c r="E32" s="12"/>
      <c r="F32" s="10" t="n">
        <v>24519</v>
      </c>
      <c r="G32" s="10" t="n">
        <v>23076</v>
      </c>
      <c r="H32" s="9" t="s">
        <v>48</v>
      </c>
      <c r="I32" s="11" t="s">
        <v>112</v>
      </c>
      <c r="J32" s="11"/>
    </row>
    <row r="33" customFormat="false" ht="15" hidden="false" customHeight="false" outlineLevel="0" collapsed="false">
      <c r="A33" s="7" t="s">
        <v>113</v>
      </c>
      <c r="B33" s="8"/>
      <c r="C33" s="8"/>
      <c r="D33" s="8"/>
      <c r="E33" s="8"/>
      <c r="F33" s="8"/>
      <c r="G33" s="8"/>
      <c r="H33" s="8"/>
      <c r="I33" s="8"/>
      <c r="J33" s="8"/>
    </row>
    <row r="34" customFormat="false" ht="32.8" hidden="false" customHeight="false" outlineLevel="0" collapsed="false">
      <c r="A34" s="9" t="s">
        <v>114</v>
      </c>
      <c r="B34" s="10" t="n">
        <v>27621</v>
      </c>
      <c r="C34" s="10" t="n">
        <v>26512</v>
      </c>
      <c r="D34" s="13"/>
      <c r="E34" s="12"/>
      <c r="F34" s="13"/>
      <c r="G34" s="10" t="n">
        <v>26038</v>
      </c>
      <c r="H34" s="14" t="s">
        <v>115</v>
      </c>
      <c r="I34" s="11" t="s">
        <v>116</v>
      </c>
      <c r="J34" s="11" t="s">
        <v>117</v>
      </c>
    </row>
    <row r="35" customFormat="false" ht="32.8" hidden="false" customHeight="false" outlineLevel="0" collapsed="false">
      <c r="A35" s="9" t="s">
        <v>118</v>
      </c>
      <c r="B35" s="10" t="n">
        <v>402</v>
      </c>
      <c r="C35" s="10" t="n">
        <v>519</v>
      </c>
      <c r="D35" s="13"/>
      <c r="E35" s="12"/>
      <c r="F35" s="13"/>
      <c r="G35" s="10" t="n">
        <v>233</v>
      </c>
      <c r="H35" s="14" t="s">
        <v>115</v>
      </c>
      <c r="I35" s="11" t="s">
        <v>119</v>
      </c>
      <c r="J35" s="11" t="s">
        <v>117</v>
      </c>
    </row>
    <row r="36" customFormat="false" ht="32.8" hidden="false" customHeight="false" outlineLevel="0" collapsed="false">
      <c r="A36" s="9" t="s">
        <v>120</v>
      </c>
      <c r="B36" s="13"/>
      <c r="C36" s="13"/>
      <c r="D36" s="13"/>
      <c r="E36" s="12"/>
      <c r="F36" s="13"/>
      <c r="G36" s="13"/>
      <c r="H36" s="14" t="s">
        <v>121</v>
      </c>
      <c r="I36" s="11" t="s">
        <v>122</v>
      </c>
      <c r="J36" s="11" t="s">
        <v>117</v>
      </c>
    </row>
    <row r="37" customFormat="false" ht="32.8" hidden="false" customHeight="false" outlineLevel="0" collapsed="false">
      <c r="A37" s="9" t="s">
        <v>123</v>
      </c>
      <c r="B37" s="13"/>
      <c r="C37" s="13"/>
      <c r="D37" s="13"/>
      <c r="E37" s="12"/>
      <c r="F37" s="13"/>
      <c r="G37" s="13"/>
      <c r="H37" s="14" t="s">
        <v>121</v>
      </c>
      <c r="I37" s="11" t="s">
        <v>124</v>
      </c>
      <c r="J37" s="11" t="s">
        <v>117</v>
      </c>
    </row>
    <row r="38" customFormat="false" ht="32.8" hidden="false" customHeight="false" outlineLevel="0" collapsed="false">
      <c r="A38" s="9" t="s">
        <v>125</v>
      </c>
      <c r="B38" s="13"/>
      <c r="C38" s="13"/>
      <c r="D38" s="13"/>
      <c r="E38" s="12"/>
      <c r="F38" s="13"/>
      <c r="G38" s="13"/>
      <c r="H38" s="14" t="s">
        <v>121</v>
      </c>
      <c r="I38" s="11" t="s">
        <v>126</v>
      </c>
      <c r="J38" s="11" t="s">
        <v>117</v>
      </c>
    </row>
    <row r="39" customFormat="false" ht="32.8" hidden="false" customHeight="false" outlineLevel="0" collapsed="false">
      <c r="A39" s="9" t="s">
        <v>127</v>
      </c>
      <c r="B39" s="13"/>
      <c r="C39" s="13"/>
      <c r="D39" s="13"/>
      <c r="E39" s="12"/>
      <c r="F39" s="13"/>
      <c r="G39" s="13"/>
      <c r="H39" s="14" t="s">
        <v>121</v>
      </c>
      <c r="I39" s="11" t="s">
        <v>128</v>
      </c>
      <c r="J39" s="11" t="s">
        <v>117</v>
      </c>
    </row>
    <row r="40" customFormat="false" ht="32.8" hidden="false" customHeight="false" outlineLevel="0" collapsed="false">
      <c r="A40" s="9" t="s">
        <v>129</v>
      </c>
      <c r="B40" s="13"/>
      <c r="C40" s="13"/>
      <c r="D40" s="13"/>
      <c r="E40" s="12"/>
      <c r="F40" s="13"/>
      <c r="G40" s="13"/>
      <c r="H40" s="14" t="s">
        <v>121</v>
      </c>
      <c r="I40" s="11" t="s">
        <v>130</v>
      </c>
      <c r="J40" s="11" t="s">
        <v>117</v>
      </c>
    </row>
    <row r="41" customFormat="false" ht="32.8" hidden="false" customHeight="false" outlineLevel="0" collapsed="false">
      <c r="A41" s="9" t="s">
        <v>131</v>
      </c>
      <c r="B41" s="13"/>
      <c r="C41" s="13"/>
      <c r="D41" s="13"/>
      <c r="E41" s="12"/>
      <c r="F41" s="13"/>
      <c r="G41" s="13"/>
      <c r="H41" s="14" t="s">
        <v>121</v>
      </c>
      <c r="I41" s="11" t="s">
        <v>132</v>
      </c>
      <c r="J41" s="11" t="s">
        <v>117</v>
      </c>
    </row>
    <row r="42" customFormat="false" ht="32.8" hidden="false" customHeight="false" outlineLevel="0" collapsed="false">
      <c r="A42" s="9" t="s">
        <v>133</v>
      </c>
      <c r="B42" s="13"/>
      <c r="C42" s="13"/>
      <c r="D42" s="13"/>
      <c r="E42" s="12"/>
      <c r="F42" s="13"/>
      <c r="G42" s="13"/>
      <c r="H42" s="14" t="s">
        <v>121</v>
      </c>
      <c r="I42" s="11" t="s">
        <v>134</v>
      </c>
      <c r="J42" s="11" t="s">
        <v>117</v>
      </c>
    </row>
    <row r="43" customFormat="false" ht="32.8" hidden="false" customHeight="false" outlineLevel="0" collapsed="false">
      <c r="A43" s="9" t="s">
        <v>135</v>
      </c>
      <c r="B43" s="13"/>
      <c r="C43" s="13"/>
      <c r="D43" s="13"/>
      <c r="E43" s="12"/>
      <c r="F43" s="13"/>
      <c r="G43" s="13"/>
      <c r="H43" s="14" t="s">
        <v>121</v>
      </c>
      <c r="I43" s="11" t="s">
        <v>136</v>
      </c>
      <c r="J43" s="11" t="s">
        <v>117</v>
      </c>
    </row>
    <row r="44" customFormat="false" ht="32.8" hidden="false" customHeight="false" outlineLevel="0" collapsed="false">
      <c r="A44" s="9" t="s">
        <v>137</v>
      </c>
      <c r="B44" s="13"/>
      <c r="C44" s="13"/>
      <c r="D44" s="13"/>
      <c r="E44" s="12"/>
      <c r="F44" s="13"/>
      <c r="G44" s="13"/>
      <c r="H44" s="14" t="s">
        <v>121</v>
      </c>
      <c r="I44" s="11" t="s">
        <v>138</v>
      </c>
      <c r="J44" s="11" t="s">
        <v>117</v>
      </c>
    </row>
    <row r="45" customFormat="false" ht="32.8" hidden="false" customHeight="false" outlineLevel="0" collapsed="false">
      <c r="A45" s="9" t="s">
        <v>139</v>
      </c>
      <c r="B45" s="13"/>
      <c r="C45" s="13"/>
      <c r="D45" s="13"/>
      <c r="E45" s="12"/>
      <c r="F45" s="13"/>
      <c r="G45" s="13"/>
      <c r="H45" s="14" t="s">
        <v>121</v>
      </c>
      <c r="I45" s="11" t="s">
        <v>140</v>
      </c>
      <c r="J45" s="11" t="s">
        <v>117</v>
      </c>
    </row>
    <row r="46" customFormat="false" ht="15" hidden="false" customHeight="false" outlineLevel="0" collapsed="false">
      <c r="A46" s="7" t="s">
        <v>141</v>
      </c>
      <c r="B46" s="8"/>
      <c r="C46" s="8"/>
      <c r="D46" s="8"/>
      <c r="E46" s="8"/>
      <c r="F46" s="8"/>
      <c r="G46" s="8"/>
      <c r="H46" s="8"/>
      <c r="I46" s="8"/>
      <c r="J46" s="8"/>
    </row>
    <row r="47" customFormat="false" ht="43.25" hidden="false" customHeight="false" outlineLevel="0" collapsed="false">
      <c r="A47" s="9" t="s">
        <v>142</v>
      </c>
      <c r="B47" s="13"/>
      <c r="C47" s="13"/>
      <c r="D47" s="13"/>
      <c r="E47" s="13"/>
      <c r="F47" s="10" t="n">
        <v>6039</v>
      </c>
      <c r="G47" s="10" t="n">
        <v>6213</v>
      </c>
      <c r="H47" s="14" t="s">
        <v>115</v>
      </c>
      <c r="I47" s="11" t="s">
        <v>143</v>
      </c>
      <c r="J47" s="11" t="s">
        <v>144</v>
      </c>
    </row>
    <row r="48" customFormat="false" ht="43.25" hidden="false" customHeight="false" outlineLevel="0" collapsed="false">
      <c r="A48" s="9" t="s">
        <v>145</v>
      </c>
      <c r="B48" s="13"/>
      <c r="C48" s="13"/>
      <c r="D48" s="13"/>
      <c r="E48" s="13"/>
      <c r="F48" s="10" t="n">
        <v>2332</v>
      </c>
      <c r="G48" s="10" t="n">
        <v>2481</v>
      </c>
      <c r="H48" s="14" t="s">
        <v>115</v>
      </c>
      <c r="I48" s="11" t="s">
        <v>146</v>
      </c>
      <c r="J48" s="11" t="s">
        <v>144</v>
      </c>
    </row>
    <row r="49" customFormat="false" ht="43.25" hidden="false" customHeight="false" outlineLevel="0" collapsed="false">
      <c r="A49" s="9" t="s">
        <v>147</v>
      </c>
      <c r="B49" s="13"/>
      <c r="C49" s="13"/>
      <c r="D49" s="13"/>
      <c r="E49" s="13"/>
      <c r="F49" s="10" t="n">
        <v>-263</v>
      </c>
      <c r="G49" s="10" t="n">
        <v>-228</v>
      </c>
      <c r="H49" s="14" t="s">
        <v>115</v>
      </c>
      <c r="I49" s="11" t="s">
        <v>148</v>
      </c>
      <c r="J49" s="11" t="s">
        <v>144</v>
      </c>
    </row>
    <row r="50" customFormat="false" ht="43.25" hidden="false" customHeight="false" outlineLevel="0" collapsed="false">
      <c r="A50" s="9" t="s">
        <v>149</v>
      </c>
      <c r="B50" s="13"/>
      <c r="C50" s="13"/>
      <c r="D50" s="13"/>
      <c r="E50" s="13"/>
      <c r="F50" s="10" t="n">
        <v>201</v>
      </c>
      <c r="G50" s="10" t="n">
        <v>68</v>
      </c>
      <c r="H50" s="14" t="s">
        <v>115</v>
      </c>
      <c r="I50" s="11" t="s">
        <v>150</v>
      </c>
      <c r="J50" s="11" t="s">
        <v>144</v>
      </c>
    </row>
    <row r="51" customFormat="false" ht="43.25" hidden="false" customHeight="false" outlineLevel="0" collapsed="false">
      <c r="A51" s="9" t="s">
        <v>151</v>
      </c>
      <c r="B51" s="13"/>
      <c r="C51" s="13"/>
      <c r="D51" s="13"/>
      <c r="E51" s="13"/>
      <c r="F51" s="10" t="n">
        <v>520</v>
      </c>
      <c r="G51" s="10" t="n">
        <v>503</v>
      </c>
      <c r="H51" s="14" t="s">
        <v>115</v>
      </c>
      <c r="I51" s="11" t="s">
        <v>152</v>
      </c>
      <c r="J51" s="11" t="s">
        <v>144</v>
      </c>
    </row>
    <row r="52" customFormat="false" ht="32.8" hidden="false" customHeight="false" outlineLevel="0" collapsed="false">
      <c r="A52" s="9" t="s">
        <v>153</v>
      </c>
      <c r="B52" s="13"/>
      <c r="C52" s="13"/>
      <c r="D52" s="13"/>
      <c r="E52" s="10" t="n">
        <v>1148</v>
      </c>
      <c r="F52" s="10" t="n">
        <v>1370</v>
      </c>
      <c r="G52" s="10" t="n">
        <v>1353</v>
      </c>
      <c r="H52" s="14" t="s">
        <v>115</v>
      </c>
      <c r="I52" s="11" t="s">
        <v>154</v>
      </c>
      <c r="J52" s="11" t="s">
        <v>155</v>
      </c>
    </row>
    <row r="53" customFormat="false" ht="32.8" hidden="false" customHeight="false" outlineLevel="0" collapsed="false">
      <c r="A53" s="9" t="s">
        <v>156</v>
      </c>
      <c r="B53" s="13"/>
      <c r="C53" s="13"/>
      <c r="D53" s="13"/>
      <c r="E53" s="10" t="n">
        <v>753</v>
      </c>
      <c r="F53" s="10" t="n">
        <v>-188</v>
      </c>
      <c r="G53" s="10" t="n">
        <v>116</v>
      </c>
      <c r="H53" s="14" t="s">
        <v>115</v>
      </c>
      <c r="I53" s="11" t="s">
        <v>157</v>
      </c>
      <c r="J53" s="11" t="s">
        <v>155</v>
      </c>
    </row>
    <row r="54" customFormat="false" ht="32.8" hidden="false" customHeight="false" outlineLevel="0" collapsed="false">
      <c r="A54" s="9" t="s">
        <v>158</v>
      </c>
      <c r="B54" s="13"/>
      <c r="C54" s="13"/>
      <c r="D54" s="13"/>
      <c r="E54" s="10" t="n">
        <v>-251</v>
      </c>
      <c r="F54" s="10" t="n">
        <v>-54</v>
      </c>
      <c r="G54" s="10" t="n">
        <v>-74</v>
      </c>
      <c r="H54" s="14" t="s">
        <v>115</v>
      </c>
      <c r="I54" s="11" t="s">
        <v>159</v>
      </c>
      <c r="J54" s="11" t="s">
        <v>155</v>
      </c>
    </row>
    <row r="55" customFormat="false" ht="32.8" hidden="false" customHeight="false" outlineLevel="0" collapsed="false">
      <c r="A55" s="9" t="s">
        <v>160</v>
      </c>
      <c r="B55" s="13"/>
      <c r="C55" s="13"/>
      <c r="D55" s="13"/>
      <c r="E55" s="10" t="n">
        <v>-171</v>
      </c>
      <c r="F55" s="10" t="n">
        <v>289</v>
      </c>
      <c r="G55" s="10" t="n">
        <v>-130</v>
      </c>
      <c r="H55" s="14" t="s">
        <v>115</v>
      </c>
      <c r="I55" s="11" t="s">
        <v>161</v>
      </c>
      <c r="J55" s="11" t="s">
        <v>155</v>
      </c>
    </row>
    <row r="56" customFormat="false" ht="32.8" hidden="false" customHeight="false" outlineLevel="0" collapsed="false">
      <c r="A56" s="9" t="s">
        <v>162</v>
      </c>
      <c r="B56" s="13"/>
      <c r="C56" s="13"/>
      <c r="D56" s="13"/>
      <c r="E56" s="10" t="n">
        <v>-440</v>
      </c>
      <c r="F56" s="10" t="n">
        <v>259</v>
      </c>
      <c r="G56" s="10" t="n">
        <v>58</v>
      </c>
      <c r="H56" s="14" t="s">
        <v>115</v>
      </c>
      <c r="I56" s="11" t="s">
        <v>163</v>
      </c>
      <c r="J56" s="11" t="s">
        <v>155</v>
      </c>
    </row>
    <row r="57" customFormat="false" ht="32.8" hidden="false" customHeight="false" outlineLevel="0" collapsed="false">
      <c r="A57" s="9" t="s">
        <v>164</v>
      </c>
      <c r="B57" s="13"/>
      <c r="C57" s="13"/>
      <c r="D57" s="13"/>
      <c r="E57" s="10" t="n">
        <v>192</v>
      </c>
      <c r="F57" s="10" t="n">
        <v>292</v>
      </c>
      <c r="G57" s="10" t="n">
        <v>255</v>
      </c>
      <c r="H57" s="14" t="s">
        <v>115</v>
      </c>
      <c r="I57" s="11" t="s">
        <v>165</v>
      </c>
      <c r="J57" s="11" t="s">
        <v>155</v>
      </c>
    </row>
    <row r="58" customFormat="false" ht="32.8" hidden="false" customHeight="false" outlineLevel="0" collapsed="false">
      <c r="A58" s="9" t="s">
        <v>166</v>
      </c>
      <c r="B58" s="13"/>
      <c r="C58" s="13"/>
      <c r="D58" s="13"/>
      <c r="E58" s="10" t="n">
        <v>97</v>
      </c>
      <c r="F58" s="10" t="n">
        <v>116</v>
      </c>
      <c r="G58" s="10" t="n">
        <v>157</v>
      </c>
      <c r="H58" s="14" t="s">
        <v>115</v>
      </c>
      <c r="I58" s="11" t="s">
        <v>167</v>
      </c>
      <c r="J58" s="11" t="s">
        <v>155</v>
      </c>
    </row>
    <row r="59" customFormat="false" ht="15" hidden="false" customHeight="false" outlineLevel="0" collapsed="false">
      <c r="A59" s="9" t="s">
        <v>168</v>
      </c>
      <c r="B59" s="10" t="n">
        <v>10305</v>
      </c>
      <c r="C59" s="10" t="n">
        <v>10089</v>
      </c>
      <c r="D59" s="10" t="n">
        <v>11561</v>
      </c>
      <c r="E59" s="10" t="n">
        <v>10326</v>
      </c>
      <c r="F59" s="10" t="n">
        <v>10913</v>
      </c>
      <c r="G59" s="10" t="n">
        <v>10772</v>
      </c>
      <c r="H59" s="9" t="s">
        <v>48</v>
      </c>
      <c r="I59" s="11" t="s">
        <v>169</v>
      </c>
      <c r="J59" s="11" t="s">
        <v>170</v>
      </c>
    </row>
    <row r="60" customFormat="false" ht="15" hidden="false" customHeight="false" outlineLevel="0" collapsed="false">
      <c r="A60" s="9" t="s">
        <v>171</v>
      </c>
      <c r="B60" s="10" t="n">
        <v>-2333</v>
      </c>
      <c r="C60" s="10" t="n">
        <v>-2807</v>
      </c>
      <c r="D60" s="10" t="n">
        <v>-2135</v>
      </c>
      <c r="E60" s="10" t="n">
        <v>-1933</v>
      </c>
      <c r="F60" s="10" t="n">
        <v>-2452</v>
      </c>
      <c r="G60" s="10" t="n">
        <v>-2720</v>
      </c>
      <c r="H60" s="9" t="s">
        <v>48</v>
      </c>
      <c r="I60" s="11" t="s">
        <v>172</v>
      </c>
      <c r="J60" s="11"/>
    </row>
    <row r="61" customFormat="false" ht="32.8" hidden="false" customHeight="false" outlineLevel="0" collapsed="false">
      <c r="A61" s="9" t="s">
        <v>173</v>
      </c>
      <c r="B61" s="10" t="n">
        <v>7972</v>
      </c>
      <c r="C61" s="10" t="n">
        <v>7282</v>
      </c>
      <c r="D61" s="10" t="n">
        <v>9426</v>
      </c>
      <c r="E61" s="13"/>
      <c r="F61" s="10" t="n">
        <v>8461</v>
      </c>
      <c r="G61" s="10" t="n">
        <v>8052</v>
      </c>
      <c r="H61" s="14" t="s">
        <v>115</v>
      </c>
      <c r="I61" s="11" t="s">
        <v>174</v>
      </c>
      <c r="J61" s="11" t="s">
        <v>175</v>
      </c>
    </row>
    <row r="62" customFormat="false" ht="43.25" hidden="false" customHeight="false" outlineLevel="0" collapsed="false">
      <c r="A62" s="9" t="s">
        <v>176</v>
      </c>
      <c r="B62" s="10" t="n">
        <v>0</v>
      </c>
      <c r="C62" s="10" t="n">
        <v>0</v>
      </c>
      <c r="D62" s="10" t="n">
        <v>0</v>
      </c>
      <c r="E62" s="10" t="n">
        <v>1033</v>
      </c>
      <c r="F62" s="10" t="n">
        <v>1058</v>
      </c>
      <c r="G62" s="10" t="n">
        <v>298</v>
      </c>
      <c r="H62" s="9" t="s">
        <v>48</v>
      </c>
      <c r="I62" s="11" t="s">
        <v>177</v>
      </c>
      <c r="J62" s="11" t="s">
        <v>178</v>
      </c>
    </row>
    <row r="63" customFormat="false" ht="15" hidden="false" customHeight="false" outlineLevel="0" collapsed="false">
      <c r="A63" s="7" t="s">
        <v>179</v>
      </c>
      <c r="B63" s="8"/>
      <c r="C63" s="8"/>
      <c r="D63" s="8"/>
      <c r="E63" s="8"/>
      <c r="F63" s="8"/>
      <c r="G63" s="8"/>
      <c r="H63" s="8"/>
      <c r="I63" s="8"/>
      <c r="J63" s="8"/>
    </row>
    <row r="64" customFormat="false" ht="15" hidden="false" customHeight="false" outlineLevel="0" collapsed="false">
      <c r="A64" s="9" t="s">
        <v>180</v>
      </c>
      <c r="B64" s="10" t="n">
        <v>-1239</v>
      </c>
      <c r="C64" s="10" t="n">
        <v>-1627</v>
      </c>
      <c r="D64" s="10" t="n">
        <v>-1703</v>
      </c>
      <c r="E64" s="10" t="n">
        <v>-1420</v>
      </c>
      <c r="F64" s="10" t="n">
        <v>-1599</v>
      </c>
      <c r="G64" s="10" t="n">
        <v>-1465</v>
      </c>
      <c r="H64" s="9" t="s">
        <v>48</v>
      </c>
      <c r="I64" s="11" t="s">
        <v>181</v>
      </c>
      <c r="J64" s="11"/>
    </row>
    <row r="65" customFormat="false" ht="15" hidden="false" customHeight="false" outlineLevel="0" collapsed="false">
      <c r="A65" s="9" t="s">
        <v>182</v>
      </c>
      <c r="B65" s="10" t="n">
        <v>-340</v>
      </c>
      <c r="C65" s="10" t="n">
        <v>-457</v>
      </c>
      <c r="D65" s="10" t="n">
        <v>-632</v>
      </c>
      <c r="E65" s="10" t="n">
        <v>-528</v>
      </c>
      <c r="F65" s="10" t="n">
        <v>-559</v>
      </c>
      <c r="G65" s="10" t="n">
        <v>-666</v>
      </c>
      <c r="H65" s="9" t="s">
        <v>48</v>
      </c>
      <c r="I65" s="11" t="s">
        <v>183</v>
      </c>
      <c r="J65" s="11" t="s">
        <v>184</v>
      </c>
    </row>
    <row r="66" customFormat="false" ht="15" hidden="false" customHeight="false" outlineLevel="0" collapsed="false">
      <c r="A66" s="9" t="s">
        <v>185</v>
      </c>
      <c r="B66" s="10" t="n">
        <v>6393</v>
      </c>
      <c r="C66" s="10" t="n">
        <v>5198</v>
      </c>
      <c r="D66" s="10" t="n">
        <v>7091</v>
      </c>
      <c r="E66" s="10" t="n">
        <v>6445</v>
      </c>
      <c r="F66" s="10" t="n">
        <v>6304</v>
      </c>
      <c r="G66" s="10" t="n">
        <v>5921</v>
      </c>
      <c r="H66" s="9" t="s">
        <v>48</v>
      </c>
      <c r="I66" s="11" t="s">
        <v>186</v>
      </c>
      <c r="J66" s="11"/>
    </row>
    <row r="67" customFormat="false" ht="15" hidden="false" customHeight="false" outlineLevel="0" collapsed="false">
      <c r="A67" s="7" t="s">
        <v>187</v>
      </c>
      <c r="B67" s="8"/>
      <c r="C67" s="8"/>
      <c r="D67" s="8"/>
      <c r="E67" s="8"/>
      <c r="F67" s="8"/>
      <c r="G67" s="8"/>
      <c r="H67" s="8"/>
      <c r="I67" s="8"/>
      <c r="J67" s="8"/>
    </row>
    <row r="68" customFormat="false" ht="22.35" hidden="false" customHeight="false" outlineLevel="0" collapsed="false">
      <c r="A68" s="9" t="s">
        <v>188</v>
      </c>
      <c r="B68" s="13"/>
      <c r="C68" s="13"/>
      <c r="D68" s="13"/>
      <c r="E68" s="13"/>
      <c r="F68" s="10" t="n">
        <v>-233</v>
      </c>
      <c r="G68" s="10" t="n">
        <v>-174</v>
      </c>
      <c r="H68" s="14" t="s">
        <v>115</v>
      </c>
      <c r="I68" s="11" t="s">
        <v>189</v>
      </c>
      <c r="J68" s="11" t="s">
        <v>190</v>
      </c>
    </row>
    <row r="69" customFormat="false" ht="22.35" hidden="false" customHeight="false" outlineLevel="0" collapsed="false">
      <c r="A69" s="9" t="s">
        <v>191</v>
      </c>
      <c r="B69" s="13"/>
      <c r="C69" s="13"/>
      <c r="D69" s="13"/>
      <c r="E69" s="13"/>
      <c r="F69" s="10" t="n">
        <v>-1381</v>
      </c>
      <c r="G69" s="10" t="n">
        <v>-1417</v>
      </c>
      <c r="H69" s="14" t="s">
        <v>115</v>
      </c>
      <c r="I69" s="11" t="s">
        <v>192</v>
      </c>
      <c r="J69" s="11" t="s">
        <v>190</v>
      </c>
    </row>
    <row r="70" customFormat="false" ht="22.35" hidden="false" customHeight="false" outlineLevel="0" collapsed="false">
      <c r="A70" s="9" t="s">
        <v>193</v>
      </c>
      <c r="B70" s="13"/>
      <c r="C70" s="13"/>
      <c r="D70" s="13"/>
      <c r="E70" s="13"/>
      <c r="F70" s="10" t="n">
        <v>15</v>
      </c>
      <c r="G70" s="10" t="n">
        <v>126</v>
      </c>
      <c r="H70" s="14" t="s">
        <v>115</v>
      </c>
      <c r="I70" s="11" t="s">
        <v>194</v>
      </c>
      <c r="J70" s="11" t="s">
        <v>190</v>
      </c>
    </row>
    <row r="71" customFormat="false" ht="22.35" hidden="false" customHeight="false" outlineLevel="0" collapsed="false">
      <c r="A71" s="9" t="s">
        <v>195</v>
      </c>
      <c r="B71" s="13"/>
      <c r="C71" s="13"/>
      <c r="D71" s="13"/>
      <c r="E71" s="13"/>
      <c r="F71" s="10" t="n">
        <v>-734</v>
      </c>
      <c r="G71" s="10" t="n">
        <v>-1674</v>
      </c>
      <c r="H71" s="14" t="s">
        <v>115</v>
      </c>
      <c r="I71" s="11" t="s">
        <v>196</v>
      </c>
      <c r="J71" s="11" t="s">
        <v>190</v>
      </c>
    </row>
    <row r="72" customFormat="false" ht="22.35" hidden="false" customHeight="false" outlineLevel="0" collapsed="false">
      <c r="A72" s="9" t="s">
        <v>197</v>
      </c>
      <c r="B72" s="13"/>
      <c r="C72" s="13"/>
      <c r="D72" s="13"/>
      <c r="E72" s="13"/>
      <c r="F72" s="10" t="n">
        <v>910</v>
      </c>
      <c r="G72" s="10" t="n">
        <v>107</v>
      </c>
      <c r="H72" s="14" t="s">
        <v>115</v>
      </c>
      <c r="I72" s="11" t="s">
        <v>198</v>
      </c>
      <c r="J72" s="11" t="s">
        <v>190</v>
      </c>
    </row>
    <row r="73" customFormat="false" ht="22.35" hidden="false" customHeight="false" outlineLevel="0" collapsed="false">
      <c r="A73" s="9" t="s">
        <v>199</v>
      </c>
      <c r="B73" s="13"/>
      <c r="C73" s="13"/>
      <c r="D73" s="13"/>
      <c r="E73" s="13"/>
      <c r="F73" s="10" t="n">
        <v>-166</v>
      </c>
      <c r="G73" s="10" t="n">
        <v>-111</v>
      </c>
      <c r="H73" s="14" t="s">
        <v>115</v>
      </c>
      <c r="I73" s="11" t="s">
        <v>200</v>
      </c>
      <c r="J73" s="11" t="s">
        <v>190</v>
      </c>
    </row>
    <row r="74" customFormat="false" ht="22.35" hidden="false" customHeight="false" outlineLevel="0" collapsed="false">
      <c r="A74" s="9" t="s">
        <v>201</v>
      </c>
      <c r="B74" s="13"/>
      <c r="C74" s="13"/>
      <c r="D74" s="13"/>
      <c r="E74" s="13"/>
      <c r="F74" s="10" t="n">
        <v>59</v>
      </c>
      <c r="G74" s="10" t="n">
        <v>239</v>
      </c>
      <c r="H74" s="14" t="s">
        <v>115</v>
      </c>
      <c r="I74" s="11" t="s">
        <v>202</v>
      </c>
      <c r="J74" s="11" t="s">
        <v>190</v>
      </c>
    </row>
    <row r="75" customFormat="false" ht="22.35" hidden="false" customHeight="false" outlineLevel="0" collapsed="false">
      <c r="A75" s="9" t="s">
        <v>203</v>
      </c>
      <c r="B75" s="13"/>
      <c r="C75" s="13"/>
      <c r="D75" s="13"/>
      <c r="E75" s="13"/>
      <c r="F75" s="10" t="n">
        <v>261</v>
      </c>
      <c r="G75" s="10" t="n">
        <v>243</v>
      </c>
      <c r="H75" s="14" t="s">
        <v>115</v>
      </c>
      <c r="I75" s="11" t="s">
        <v>204</v>
      </c>
      <c r="J75" s="11" t="s">
        <v>190</v>
      </c>
    </row>
    <row r="76" customFormat="false" ht="22.35" hidden="false" customHeight="false" outlineLevel="0" collapsed="false">
      <c r="A76" s="9" t="s">
        <v>205</v>
      </c>
      <c r="B76" s="13"/>
      <c r="C76" s="13"/>
      <c r="D76" s="13"/>
      <c r="E76" s="13"/>
      <c r="F76" s="10" t="n">
        <v>476</v>
      </c>
      <c r="G76" s="10" t="n">
        <v>-85</v>
      </c>
      <c r="H76" s="14" t="s">
        <v>115</v>
      </c>
      <c r="I76" s="11" t="s">
        <v>206</v>
      </c>
      <c r="J76" s="11" t="s">
        <v>190</v>
      </c>
    </row>
    <row r="77" customFormat="false" ht="32.8" hidden="false" customHeight="false" outlineLevel="0" collapsed="false">
      <c r="A77" s="9" t="s">
        <v>207</v>
      </c>
      <c r="B77" s="10" t="n">
        <v>148</v>
      </c>
      <c r="C77" s="10" t="n">
        <v>287</v>
      </c>
      <c r="D77" s="10" t="n">
        <v>267</v>
      </c>
      <c r="E77" s="13"/>
      <c r="F77" s="10" t="n">
        <v>370</v>
      </c>
      <c r="G77" s="10" t="n">
        <v>352</v>
      </c>
      <c r="H77" s="14" t="s">
        <v>115</v>
      </c>
      <c r="I77" s="11" t="s">
        <v>208</v>
      </c>
      <c r="J77" s="11" t="s">
        <v>209</v>
      </c>
    </row>
    <row r="78" customFormat="false" ht="43.25" hidden="false" customHeight="false" outlineLevel="0" collapsed="false">
      <c r="A78" s="9" t="s">
        <v>210</v>
      </c>
      <c r="B78" s="10" t="n">
        <v>-3246</v>
      </c>
      <c r="C78" s="10" t="n">
        <v>2453</v>
      </c>
      <c r="D78" s="10" t="n">
        <v>-2294</v>
      </c>
      <c r="E78" s="10" t="n">
        <v>-1411</v>
      </c>
      <c r="F78" s="10" t="n">
        <v>-423</v>
      </c>
      <c r="G78" s="10" t="n">
        <v>-2394</v>
      </c>
      <c r="H78" s="9" t="s">
        <v>48</v>
      </c>
      <c r="I78" s="11" t="s">
        <v>211</v>
      </c>
      <c r="J78" s="11" t="s">
        <v>212</v>
      </c>
    </row>
    <row r="79" customFormat="false" ht="32.8" hidden="false" customHeight="false" outlineLevel="0" collapsed="false">
      <c r="A79" s="9" t="s">
        <v>213</v>
      </c>
      <c r="B79" s="10" t="n">
        <v>0</v>
      </c>
      <c r="C79" s="10" t="n">
        <v>0</v>
      </c>
      <c r="D79" s="10" t="n">
        <v>0</v>
      </c>
      <c r="E79" s="10" t="n">
        <v>-883</v>
      </c>
      <c r="F79" s="10" t="n">
        <v>-202</v>
      </c>
      <c r="G79" s="10" t="n">
        <v>-724</v>
      </c>
      <c r="H79" s="9" t="s">
        <v>48</v>
      </c>
      <c r="I79" s="11" t="s">
        <v>214</v>
      </c>
      <c r="J79" s="11" t="s">
        <v>178</v>
      </c>
    </row>
    <row r="80" customFormat="false" ht="43.25" hidden="false" customHeight="false" outlineLevel="0" collapsed="false">
      <c r="A80" s="9" t="s">
        <v>215</v>
      </c>
      <c r="B80" s="10" t="n">
        <v>-3246</v>
      </c>
      <c r="C80" s="10" t="n">
        <v>2453</v>
      </c>
      <c r="D80" s="10" t="n">
        <v>-2294</v>
      </c>
      <c r="E80" s="10" t="n">
        <v>-2294</v>
      </c>
      <c r="F80" s="10" t="n">
        <v>-625</v>
      </c>
      <c r="G80" s="10" t="n">
        <v>-3118</v>
      </c>
      <c r="H80" s="9" t="s">
        <v>48</v>
      </c>
      <c r="I80" s="11" t="s">
        <v>216</v>
      </c>
      <c r="J80" s="11" t="s">
        <v>217</v>
      </c>
    </row>
    <row r="81" customFormat="false" ht="15" hidden="false" customHeight="false" outlineLevel="0" collapsed="false">
      <c r="A81" s="7" t="s">
        <v>218</v>
      </c>
      <c r="B81" s="8"/>
      <c r="C81" s="8"/>
      <c r="D81" s="8"/>
      <c r="E81" s="8"/>
      <c r="F81" s="8"/>
      <c r="G81" s="8"/>
      <c r="H81" s="8"/>
      <c r="I81" s="8"/>
      <c r="J81" s="8"/>
    </row>
    <row r="82" customFormat="false" ht="43.25" hidden="false" customHeight="false" outlineLevel="0" collapsed="false">
      <c r="A82" s="9" t="s">
        <v>219</v>
      </c>
      <c r="B82" s="10" t="n">
        <v>-4483</v>
      </c>
      <c r="C82" s="10" t="n">
        <v>-4329</v>
      </c>
      <c r="D82" s="10" t="n">
        <v>-4363</v>
      </c>
      <c r="E82" s="10" t="n">
        <v>-4363</v>
      </c>
      <c r="F82" s="10" t="n">
        <v>-4319</v>
      </c>
      <c r="G82" s="10" t="n">
        <v>-4453</v>
      </c>
      <c r="H82" s="9" t="s">
        <v>48</v>
      </c>
      <c r="I82" s="11" t="s">
        <v>220</v>
      </c>
      <c r="J82" s="11" t="s">
        <v>221</v>
      </c>
    </row>
    <row r="83" customFormat="false" ht="43.25" hidden="false" customHeight="false" outlineLevel="0" collapsed="false">
      <c r="A83" s="9" t="s">
        <v>222</v>
      </c>
      <c r="B83" s="10" t="n">
        <v>-488</v>
      </c>
      <c r="C83" s="10" t="n">
        <v>-744</v>
      </c>
      <c r="D83" s="10" t="n">
        <v>-899</v>
      </c>
      <c r="E83" s="10" t="n">
        <v>-751</v>
      </c>
      <c r="F83" s="10" t="n">
        <v>-929</v>
      </c>
      <c r="G83" s="10" t="n">
        <v>-1018</v>
      </c>
      <c r="H83" s="9" t="s">
        <v>48</v>
      </c>
      <c r="I83" s="11" t="s">
        <v>223</v>
      </c>
      <c r="J83" s="11" t="s">
        <v>224</v>
      </c>
    </row>
    <row r="84" customFormat="false" ht="22.35" hidden="false" customHeight="false" outlineLevel="0" collapsed="false">
      <c r="A84" s="9" t="s">
        <v>225</v>
      </c>
      <c r="B84" s="13"/>
      <c r="C84" s="13"/>
      <c r="D84" s="13"/>
      <c r="E84" s="13"/>
      <c r="F84" s="10" t="n">
        <v>575</v>
      </c>
      <c r="G84" s="10" t="n">
        <v>-2228</v>
      </c>
      <c r="H84" s="14" t="s">
        <v>115</v>
      </c>
      <c r="I84" s="11" t="s">
        <v>226</v>
      </c>
      <c r="J84" s="11" t="s">
        <v>190</v>
      </c>
    </row>
    <row r="85" customFormat="false" ht="22.35" hidden="false" customHeight="false" outlineLevel="0" collapsed="false">
      <c r="A85" s="9" t="s">
        <v>227</v>
      </c>
      <c r="B85" s="13"/>
      <c r="C85" s="13"/>
      <c r="D85" s="13"/>
      <c r="E85" s="13"/>
      <c r="F85" s="10" t="n">
        <v>4234</v>
      </c>
      <c r="G85" s="10" t="n">
        <v>4278</v>
      </c>
      <c r="H85" s="14" t="s">
        <v>115</v>
      </c>
      <c r="I85" s="11" t="s">
        <v>228</v>
      </c>
      <c r="J85" s="11" t="s">
        <v>190</v>
      </c>
    </row>
    <row r="86" customFormat="false" ht="22.35" hidden="false" customHeight="false" outlineLevel="0" collapsed="false">
      <c r="A86" s="9" t="s">
        <v>229</v>
      </c>
      <c r="B86" s="13"/>
      <c r="C86" s="13"/>
      <c r="D86" s="13"/>
      <c r="E86" s="13"/>
      <c r="F86" s="10" t="n">
        <v>-3846</v>
      </c>
      <c r="G86" s="10" t="n">
        <v>-3547</v>
      </c>
      <c r="H86" s="14" t="s">
        <v>115</v>
      </c>
      <c r="I86" s="11" t="s">
        <v>230</v>
      </c>
      <c r="J86" s="11" t="s">
        <v>190</v>
      </c>
    </row>
    <row r="87" customFormat="false" ht="22.35" hidden="false" customHeight="false" outlineLevel="0" collapsed="false">
      <c r="A87" s="9" t="s">
        <v>231</v>
      </c>
      <c r="B87" s="13"/>
      <c r="C87" s="13"/>
      <c r="D87" s="13"/>
      <c r="E87" s="13"/>
      <c r="F87" s="10" t="n">
        <v>-342</v>
      </c>
      <c r="G87" s="10" t="n">
        <v>-301</v>
      </c>
      <c r="H87" s="14" t="s">
        <v>115</v>
      </c>
      <c r="I87" s="11" t="s">
        <v>232</v>
      </c>
      <c r="J87" s="11" t="s">
        <v>190</v>
      </c>
    </row>
    <row r="88" customFormat="false" ht="32.8" hidden="false" customHeight="false" outlineLevel="0" collapsed="false">
      <c r="A88" s="9" t="s">
        <v>233</v>
      </c>
      <c r="B88" s="10" t="n">
        <v>-3018</v>
      </c>
      <c r="C88" s="10" t="n">
        <v>-1509</v>
      </c>
      <c r="D88" s="10" t="n">
        <v>-1507</v>
      </c>
      <c r="E88" s="13"/>
      <c r="F88" s="10" t="n">
        <v>-1508</v>
      </c>
      <c r="G88" s="10" t="n">
        <v>-1510</v>
      </c>
      <c r="H88" s="14" t="s">
        <v>115</v>
      </c>
      <c r="I88" s="11" t="s">
        <v>234</v>
      </c>
      <c r="J88" s="11" t="s">
        <v>235</v>
      </c>
    </row>
    <row r="89" customFormat="false" ht="22.35" hidden="false" customHeight="false" outlineLevel="0" collapsed="false">
      <c r="A89" s="9" t="s">
        <v>236</v>
      </c>
      <c r="B89" s="13"/>
      <c r="C89" s="13"/>
      <c r="D89" s="13"/>
      <c r="E89" s="13"/>
      <c r="F89" s="10" t="n">
        <v>-694</v>
      </c>
      <c r="G89" s="10" t="n">
        <v>-1105</v>
      </c>
      <c r="H89" s="14" t="s">
        <v>115</v>
      </c>
      <c r="I89" s="11" t="s">
        <v>237</v>
      </c>
      <c r="J89" s="11" t="s">
        <v>190</v>
      </c>
    </row>
    <row r="90" customFormat="false" ht="43.25" hidden="false" customHeight="false" outlineLevel="0" collapsed="false">
      <c r="A90" s="9" t="s">
        <v>238</v>
      </c>
      <c r="B90" s="10" t="n">
        <v>-7099</v>
      </c>
      <c r="C90" s="10" t="n">
        <v>-8890</v>
      </c>
      <c r="D90" s="10" t="n">
        <v>-7193</v>
      </c>
      <c r="E90" s="10" t="n">
        <v>-7084</v>
      </c>
      <c r="F90" s="10" t="n">
        <v>-6829</v>
      </c>
      <c r="G90" s="10" t="n">
        <v>-9884</v>
      </c>
      <c r="H90" s="9" t="s">
        <v>48</v>
      </c>
      <c r="I90" s="11" t="s">
        <v>239</v>
      </c>
      <c r="J90" s="11" t="s">
        <v>212</v>
      </c>
    </row>
    <row r="91" customFormat="false" ht="32.8" hidden="false" customHeight="false" outlineLevel="0" collapsed="false">
      <c r="A91" s="9" t="s">
        <v>240</v>
      </c>
      <c r="B91" s="10" t="n">
        <v>0</v>
      </c>
      <c r="C91" s="10" t="n">
        <v>0</v>
      </c>
      <c r="D91" s="10" t="n">
        <v>0</v>
      </c>
      <c r="E91" s="10" t="n">
        <v>-109</v>
      </c>
      <c r="F91" s="10" t="n">
        <v>-112</v>
      </c>
      <c r="G91" s="10" t="n">
        <v>3070</v>
      </c>
      <c r="H91" s="9" t="s">
        <v>48</v>
      </c>
      <c r="I91" s="11" t="s">
        <v>241</v>
      </c>
      <c r="J91" s="11" t="s">
        <v>178</v>
      </c>
    </row>
    <row r="92" customFormat="false" ht="43.25" hidden="false" customHeight="false" outlineLevel="0" collapsed="false">
      <c r="A92" s="9" t="s">
        <v>242</v>
      </c>
      <c r="B92" s="10" t="n">
        <v>-7099</v>
      </c>
      <c r="C92" s="10" t="n">
        <v>-8890</v>
      </c>
      <c r="D92" s="10" t="n">
        <v>-7193</v>
      </c>
      <c r="E92" s="10" t="n">
        <v>-7193</v>
      </c>
      <c r="F92" s="10" t="n">
        <v>-6941</v>
      </c>
      <c r="G92" s="10" t="n">
        <v>-6814</v>
      </c>
      <c r="H92" s="9" t="s">
        <v>48</v>
      </c>
      <c r="I92" s="11" t="s">
        <v>243</v>
      </c>
      <c r="J92" s="11"/>
    </row>
    <row r="93" customFormat="false" ht="15" hidden="false" customHeight="false" outlineLevel="0" collapsed="false">
      <c r="A93" s="7" t="s">
        <v>244</v>
      </c>
      <c r="B93" s="8"/>
      <c r="C93" s="8"/>
      <c r="D93" s="8"/>
      <c r="E93" s="8"/>
      <c r="F93" s="8"/>
      <c r="G93" s="8"/>
      <c r="H93" s="8"/>
      <c r="I93" s="8"/>
      <c r="J93" s="8"/>
    </row>
    <row r="94" customFormat="false" ht="32.8" hidden="false" customHeight="false" outlineLevel="0" collapsed="false">
      <c r="A94" s="9" t="s">
        <v>245</v>
      </c>
      <c r="B94" s="10" t="n">
        <v>5475</v>
      </c>
      <c r="C94" s="10" t="n">
        <v>3387</v>
      </c>
      <c r="D94" s="10" t="n">
        <v>4225</v>
      </c>
      <c r="E94" s="10" t="n">
        <v>4225</v>
      </c>
      <c r="F94" s="10" t="n">
        <v>4045</v>
      </c>
      <c r="G94" s="10" t="n">
        <v>5950</v>
      </c>
      <c r="H94" s="9" t="s">
        <v>48</v>
      </c>
      <c r="I94" s="11" t="s">
        <v>246</v>
      </c>
      <c r="J94" s="11" t="s">
        <v>247</v>
      </c>
    </row>
    <row r="95" customFormat="false" ht="32.8" hidden="false" customHeight="false" outlineLevel="0" collapsed="false">
      <c r="A95" s="9" t="s">
        <v>248</v>
      </c>
      <c r="B95" s="10" t="n">
        <v>-2373</v>
      </c>
      <c r="C95" s="10" t="n">
        <v>845</v>
      </c>
      <c r="D95" s="10" t="n">
        <v>-61</v>
      </c>
      <c r="E95" s="13"/>
      <c r="F95" s="10" t="n">
        <v>1953</v>
      </c>
      <c r="G95" s="10" t="n">
        <v>-1582</v>
      </c>
      <c r="H95" s="14" t="s">
        <v>115</v>
      </c>
      <c r="I95" s="11" t="s">
        <v>249</v>
      </c>
      <c r="J95" s="11" t="s">
        <v>250</v>
      </c>
    </row>
    <row r="96" customFormat="false" ht="43.25" hidden="false" customHeight="false" outlineLevel="0" collapsed="false">
      <c r="A96" s="9" t="s">
        <v>251</v>
      </c>
      <c r="B96" s="10" t="n">
        <v>285</v>
      </c>
      <c r="C96" s="10" t="n">
        <v>-7</v>
      </c>
      <c r="D96" s="10" t="n">
        <v>-119</v>
      </c>
      <c r="E96" s="10" t="n">
        <v>-119</v>
      </c>
      <c r="F96" s="10" t="n">
        <v>-48</v>
      </c>
      <c r="G96" s="10" t="n">
        <v>-498</v>
      </c>
      <c r="H96" s="9" t="s">
        <v>48</v>
      </c>
      <c r="I96" s="11" t="s">
        <v>252</v>
      </c>
      <c r="J96" s="11"/>
    </row>
    <row r="97" customFormat="false" ht="32.8" hidden="false" customHeight="false" outlineLevel="0" collapsed="false">
      <c r="A97" s="9" t="s">
        <v>253</v>
      </c>
      <c r="B97" s="10" t="n">
        <v>3387</v>
      </c>
      <c r="C97" s="10" t="n">
        <v>4225</v>
      </c>
      <c r="D97" s="10" t="n">
        <v>4045</v>
      </c>
      <c r="E97" s="10" t="n">
        <v>4045</v>
      </c>
      <c r="F97" s="10" t="n">
        <v>5950</v>
      </c>
      <c r="G97" s="10" t="n">
        <v>3870</v>
      </c>
      <c r="H97" s="9" t="s">
        <v>48</v>
      </c>
      <c r="I97" s="11" t="s">
        <v>254</v>
      </c>
      <c r="J97" s="11" t="s">
        <v>255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2"/>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70"/>
  </cols>
  <sheetData>
    <row r="1" customFormat="false" ht="16.15" hidden="false" customHeight="false" outlineLevel="0" collapsed="false">
      <c r="A1" s="1" t="s">
        <v>256</v>
      </c>
    </row>
    <row r="2" customFormat="false" ht="15" hidden="false" customHeight="false" outlineLevel="0" collapsed="false">
      <c r="A2" s="5" t="s">
        <v>257</v>
      </c>
    </row>
    <row r="4" customFormat="false" ht="23.85" hidden="false" customHeight="false" outlineLevel="0" collapsed="false">
      <c r="A4" s="15" t="s">
        <v>258</v>
      </c>
      <c r="B4" s="16" t="s">
        <v>37</v>
      </c>
      <c r="C4" s="16" t="s">
        <v>38</v>
      </c>
      <c r="D4" s="16" t="s">
        <v>39</v>
      </c>
      <c r="E4" s="16" t="s">
        <v>40</v>
      </c>
      <c r="F4" s="16" t="s">
        <v>41</v>
      </c>
      <c r="G4" s="16" t="s">
        <v>42</v>
      </c>
      <c r="H4" s="16" t="s">
        <v>259</v>
      </c>
    </row>
    <row r="5" customFormat="false" ht="15" hidden="false" customHeight="false" outlineLevel="0" collapsed="false">
      <c r="A5" s="7" t="s">
        <v>260</v>
      </c>
      <c r="B5" s="8"/>
      <c r="C5" s="8"/>
      <c r="D5" s="8"/>
      <c r="E5" s="8"/>
      <c r="F5" s="8"/>
      <c r="G5" s="8"/>
      <c r="H5" s="8"/>
    </row>
    <row r="6" customFormat="false" ht="15" hidden="false" customHeight="false" outlineLevel="0" collapsed="false">
      <c r="A6" s="14" t="s">
        <v>47</v>
      </c>
      <c r="B6" s="17" t="n">
        <f aca="false">IF(RAW_DATA!B6="","",RAW_DATA!B6)</f>
        <v>52444</v>
      </c>
      <c r="C6" s="17" t="n">
        <f aca="false">IF(RAW_DATA!C6="","",RAW_DATA!C6)</f>
        <v>60073</v>
      </c>
      <c r="D6" s="17" t="n">
        <f aca="false">IF(RAW_DATA!D6="","",RAW_DATA!D6)</f>
        <v>59604</v>
      </c>
      <c r="E6" s="17" t="n">
        <f aca="false">IF(RAW_DATA!E6="","",RAW_DATA!E6)</f>
        <v>51680</v>
      </c>
      <c r="F6" s="17" t="n">
        <f aca="false">IF(RAW_DATA!F6="","",RAW_DATA!F6)</f>
        <v>52479</v>
      </c>
      <c r="G6" s="17" t="n">
        <f aca="false">IF(RAW_DATA!G6="","",RAW_DATA!G6)</f>
        <v>50503</v>
      </c>
      <c r="H6" s="11"/>
    </row>
    <row r="7" customFormat="false" ht="15" hidden="false" customHeight="false" outlineLevel="0" collapsed="false">
      <c r="A7" s="9" t="s">
        <v>51</v>
      </c>
      <c r="B7" s="18" t="n">
        <f aca="false">IF(RAW_DATA!B7="","",RAW_DATA!B7)</f>
        <v>30259</v>
      </c>
      <c r="C7" s="18" t="n">
        <f aca="false">IF(RAW_DATA!C7="","",RAW_DATA!C7)</f>
        <v>35906</v>
      </c>
      <c r="D7" s="18" t="n">
        <f aca="false">IF(RAW_DATA!D7="","",RAW_DATA!D7)</f>
        <v>34429</v>
      </c>
      <c r="E7" s="18" t="n">
        <f aca="false">IF(RAW_DATA!E7="","",RAW_DATA!E7)</f>
        <v>29180</v>
      </c>
      <c r="F7" s="18" t="n">
        <f aca="false">IF(RAW_DATA!F7="","",RAW_DATA!F7)</f>
        <v>27976</v>
      </c>
      <c r="G7" s="18" t="n">
        <f aca="false">IF(RAW_DATA!G7="","",RAW_DATA!G7)</f>
        <v>26794</v>
      </c>
      <c r="H7" s="11" t="s">
        <v>53</v>
      </c>
    </row>
    <row r="8" customFormat="false" ht="15" hidden="false" customHeight="false" outlineLevel="0" collapsed="false">
      <c r="A8" s="14" t="s">
        <v>54</v>
      </c>
      <c r="B8" s="17" t="n">
        <f aca="false">IF(RAW_DATA!B8="","",RAW_DATA!B8)</f>
        <v>8702</v>
      </c>
      <c r="C8" s="17" t="n">
        <f aca="false">IF(RAW_DATA!C8="","",RAW_DATA!C8)</f>
        <v>10755</v>
      </c>
      <c r="D8" s="17" t="n">
        <f aca="false">IF(RAW_DATA!D8="","",RAW_DATA!D8)</f>
        <v>9758</v>
      </c>
      <c r="E8" s="17" t="n">
        <f aca="false">IF(RAW_DATA!E8="","",RAW_DATA!E8)</f>
        <v>8998</v>
      </c>
      <c r="F8" s="17" t="n">
        <f aca="false">IF(RAW_DATA!F8="","",RAW_DATA!F8)</f>
        <v>8829</v>
      </c>
      <c r="G8" s="17" t="n">
        <f aca="false">IF(RAW_DATA!G8="","",RAW_DATA!G8)</f>
        <v>9037</v>
      </c>
      <c r="H8" s="11"/>
    </row>
    <row r="9" customFormat="false" ht="15" hidden="false" customHeight="false" outlineLevel="0" collapsed="false">
      <c r="A9" s="9" t="s">
        <v>56</v>
      </c>
      <c r="B9" s="18" t="n">
        <f aca="false">IF(RAW_DATA!B9="","",RAW_DATA!B9)</f>
        <v>354</v>
      </c>
      <c r="C9" s="18" t="n">
        <f aca="false">IF(RAW_DATA!C9="","",RAW_DATA!C9)</f>
        <v>493</v>
      </c>
      <c r="D9" s="18" t="n">
        <f aca="false">IF(RAW_DATA!D9="","",RAW_DATA!D9)</f>
        <v>486</v>
      </c>
      <c r="E9" s="18" t="n">
        <f aca="false">IF(RAW_DATA!E9="","",RAW_DATA!E9)</f>
        <v>408</v>
      </c>
      <c r="F9" s="18" t="n">
        <f aca="false">IF(RAW_DATA!F9="","",RAW_DATA!F9)</f>
        <v>520</v>
      </c>
      <c r="G9" s="18" t="n">
        <f aca="false">IF(RAW_DATA!G9="","",RAW_DATA!G9)</f>
        <v>503</v>
      </c>
      <c r="H9" s="11" t="s">
        <v>261</v>
      </c>
    </row>
    <row r="10" customFormat="false" ht="15" hidden="false" customHeight="false" outlineLevel="0" collapsed="false">
      <c r="A10" s="9" t="s">
        <v>262</v>
      </c>
      <c r="B10" s="18" t="n">
        <f aca="false">IF(RAW_DATA!B10="","",RAW_DATA!B10)</f>
        <v>-74</v>
      </c>
      <c r="C10" s="18" t="n">
        <f aca="false">IF(RAW_DATA!C10="","",RAW_DATA!C10)</f>
        <v>-157</v>
      </c>
      <c r="D10" s="18" t="n">
        <f aca="false">IF(RAW_DATA!D10="","",RAW_DATA!D10)</f>
        <v>-142</v>
      </c>
      <c r="E10" s="18" t="n">
        <f aca="false">IF(RAW_DATA!E10="","",RAW_DATA!E10)</f>
        <v>-169</v>
      </c>
      <c r="F10" s="18" t="n">
        <f aca="false">IF(RAW_DATA!F10="","",RAW_DATA!F10)</f>
        <v>-201</v>
      </c>
      <c r="G10" s="18" t="n">
        <f aca="false">IF(RAW_DATA!G10="","",RAW_DATA!G10)</f>
        <v>-68</v>
      </c>
      <c r="H10" s="11" t="s">
        <v>263</v>
      </c>
    </row>
    <row r="11" customFormat="false" ht="15" hidden="false" customHeight="false" outlineLevel="0" collapsed="false">
      <c r="A11" s="9" t="s">
        <v>264</v>
      </c>
      <c r="B11" s="18" t="n">
        <f aca="false">IF(RAW_DATA!B11="","",RAW_DATA!B11)</f>
        <v>191</v>
      </c>
      <c r="C11" s="18" t="n">
        <f aca="false">IF(RAW_DATA!C11="","",RAW_DATA!C11)</f>
        <v>208</v>
      </c>
      <c r="D11" s="18" t="n">
        <f aca="false">IF(RAW_DATA!D11="","",RAW_DATA!D11)</f>
        <v>231</v>
      </c>
      <c r="E11" s="18" t="n">
        <f aca="false">IF(RAW_DATA!E11="","",RAW_DATA!E11)</f>
        <v>228</v>
      </c>
      <c r="F11" s="18" t="n">
        <f aca="false">IF(RAW_DATA!F11="","",RAW_DATA!F11)</f>
        <v>250</v>
      </c>
      <c r="G11" s="18" t="n">
        <f aca="false">IF(RAW_DATA!G11="","",RAW_DATA!G11)</f>
        <v>245</v>
      </c>
      <c r="H11" s="11" t="s">
        <v>265</v>
      </c>
    </row>
    <row r="12" customFormat="false" ht="15" hidden="false" customHeight="false" outlineLevel="0" collapsed="false">
      <c r="A12" s="9" t="s">
        <v>266</v>
      </c>
      <c r="B12" s="18" t="n">
        <f aca="false">IF(RAW_DATA!B12="","",RAW_DATA!B12)</f>
        <v>91</v>
      </c>
      <c r="C12" s="18" t="n">
        <f aca="false">IF(RAW_DATA!C12="","",RAW_DATA!C12)</f>
        <v>24</v>
      </c>
      <c r="D12" s="18" t="n">
        <f aca="false">IF(RAW_DATA!D12="","",RAW_DATA!D12)</f>
        <v>-22</v>
      </c>
      <c r="E12" s="18" t="n">
        <f aca="false">IF(RAW_DATA!E12="","",RAW_DATA!E12)</f>
        <v>-22</v>
      </c>
      <c r="F12" s="18" t="n">
        <f aca="false">IF(RAW_DATA!F12="","",RAW_DATA!F12)</f>
        <v>13</v>
      </c>
      <c r="G12" s="18" t="n">
        <f aca="false">IF(RAW_DATA!G12="","",RAW_DATA!G12)</f>
        <v>-17</v>
      </c>
      <c r="H12" s="11" t="s">
        <v>265</v>
      </c>
    </row>
    <row r="13" customFormat="false" ht="15" hidden="false" customHeight="false" outlineLevel="0" collapsed="false">
      <c r="A13" s="14" t="s">
        <v>267</v>
      </c>
      <c r="B13" s="17" t="n">
        <f aca="false">IF(RAW_DATA!B13="","",RAW_DATA!B13)</f>
        <v>8556</v>
      </c>
      <c r="C13" s="17" t="n">
        <f aca="false">IF(RAW_DATA!C13="","",RAW_DATA!C13)</f>
        <v>10337</v>
      </c>
      <c r="D13" s="17" t="n">
        <f aca="false">IF(RAW_DATA!D13="","",RAW_DATA!D13)</f>
        <v>9339</v>
      </c>
      <c r="E13" s="17" t="n">
        <f aca="false">IF(RAW_DATA!E13="","",RAW_DATA!E13)</f>
        <v>8627</v>
      </c>
      <c r="F13" s="17" t="n">
        <f aca="false">IF(RAW_DATA!F13="","",RAW_DATA!F13)</f>
        <v>8371</v>
      </c>
      <c r="G13" s="17" t="n">
        <f aca="false">IF(RAW_DATA!G13="","",RAW_DATA!G13)</f>
        <v>8693</v>
      </c>
      <c r="H13" s="11"/>
    </row>
    <row r="14" customFormat="false" ht="15" hidden="false" customHeight="false" outlineLevel="0" collapsed="false">
      <c r="A14" s="9" t="s">
        <v>268</v>
      </c>
      <c r="B14" s="18" t="n">
        <f aca="false">IF(RAW_DATA!B14="","",RAW_DATA!B14)</f>
        <v>1935</v>
      </c>
      <c r="C14" s="18" t="n">
        <f aca="false">IF(RAW_DATA!C14="","",RAW_DATA!C14)</f>
        <v>2068</v>
      </c>
      <c r="D14" s="18" t="n">
        <f aca="false">IF(RAW_DATA!D14="","",RAW_DATA!D14)</f>
        <v>2199</v>
      </c>
      <c r="E14" s="18" t="n">
        <f aca="false">IF(RAW_DATA!E14="","",RAW_DATA!E14)</f>
        <v>1990</v>
      </c>
      <c r="F14" s="18" t="n">
        <f aca="false">IF(RAW_DATA!F14="","",RAW_DATA!F14)</f>
        <v>2332</v>
      </c>
      <c r="G14" s="18" t="n">
        <f aca="false">IF(RAW_DATA!G14="","",RAW_DATA!G14)</f>
        <v>2481</v>
      </c>
      <c r="H14" s="11" t="s">
        <v>269</v>
      </c>
    </row>
    <row r="15" customFormat="false" ht="15" hidden="false" customHeight="false" outlineLevel="0" collapsed="false">
      <c r="A15" s="14" t="s">
        <v>73</v>
      </c>
      <c r="B15" s="17" t="n">
        <f aca="false">IF(RAW_DATA!B15="","",RAW_DATA!B15)</f>
        <v>6621</v>
      </c>
      <c r="C15" s="17" t="n">
        <f aca="false">IF(RAW_DATA!C15="","",RAW_DATA!C15)</f>
        <v>8269</v>
      </c>
      <c r="D15" s="17" t="n">
        <f aca="false">IF(RAW_DATA!D15="","",RAW_DATA!D15)</f>
        <v>7140</v>
      </c>
      <c r="E15" s="17" t="n">
        <f aca="false">IF(RAW_DATA!E15="","",RAW_DATA!E15)</f>
        <v>6637</v>
      </c>
      <c r="F15" s="17" t="n">
        <f aca="false">IF(RAW_DATA!F15="","",RAW_DATA!F15)</f>
        <v>6039</v>
      </c>
      <c r="G15" s="17" t="n">
        <f aca="false">IF(RAW_DATA!G15="","",RAW_DATA!G15)</f>
        <v>6213</v>
      </c>
      <c r="H15" s="11" t="s">
        <v>270</v>
      </c>
    </row>
    <row r="16" customFormat="false" ht="22.35" hidden="false" customHeight="false" outlineLevel="0" collapsed="false">
      <c r="A16" s="9" t="s">
        <v>271</v>
      </c>
      <c r="B16" s="19" t="n">
        <f aca="false">IFERROR(B13-B8+B9,"")</f>
        <v>208</v>
      </c>
      <c r="C16" s="19" t="n">
        <f aca="false">IFERROR(C13-C8+C9,"")</f>
        <v>75</v>
      </c>
      <c r="D16" s="19" t="n">
        <f aca="false">IFERROR(D13-D8+D9,"")</f>
        <v>67</v>
      </c>
      <c r="E16" s="19" t="n">
        <f aca="false">IFERROR(E13-E8+E9,"")</f>
        <v>37</v>
      </c>
      <c r="F16" s="19" t="n">
        <f aca="false">IFERROR(F13-F8+F9,"")</f>
        <v>62</v>
      </c>
      <c r="G16" s="19" t="n">
        <f aca="false">IFERROR(G13-G8+G9,"")</f>
        <v>159</v>
      </c>
      <c r="H16" s="11" t="s">
        <v>272</v>
      </c>
    </row>
    <row r="18" customFormat="false" ht="15" hidden="false" customHeight="false" outlineLevel="0" collapsed="false">
      <c r="A18" s="7" t="s">
        <v>273</v>
      </c>
      <c r="B18" s="8"/>
      <c r="C18" s="8"/>
      <c r="D18" s="8"/>
      <c r="E18" s="8"/>
      <c r="F18" s="8"/>
      <c r="G18" s="8"/>
      <c r="H18" s="8"/>
    </row>
    <row r="19" customFormat="false" ht="22.35" hidden="false" customHeight="false" outlineLevel="0" collapsed="false">
      <c r="A19" s="9" t="s">
        <v>274</v>
      </c>
      <c r="B19" s="20"/>
      <c r="C19" s="21" t="n">
        <f aca="false">IFERROR(C6/B6-1,"")</f>
        <v>0.145469453130959</v>
      </c>
      <c r="D19" s="21" t="n">
        <f aca="false">IFERROR(D6/C6-1,"")</f>
        <v>-0.00780716794566616</v>
      </c>
      <c r="E19" s="20"/>
      <c r="F19" s="21" t="n">
        <f aca="false">IFERROR(F6/E6-1,"")</f>
        <v>0.0154605263157894</v>
      </c>
      <c r="G19" s="21" t="n">
        <f aca="false">IFERROR(G6/F6-1,"")</f>
        <v>-0.0376531565006956</v>
      </c>
      <c r="H19" s="11" t="s">
        <v>275</v>
      </c>
    </row>
    <row r="20" customFormat="false" ht="15" hidden="false" customHeight="false" outlineLevel="0" collapsed="false">
      <c r="A20" s="9" t="s">
        <v>276</v>
      </c>
      <c r="B20" s="21" t="n">
        <f aca="false">IFERROR(B8/B6,"")</f>
        <v>0.165929372282816</v>
      </c>
      <c r="C20" s="21" t="n">
        <f aca="false">IFERROR(C8/C6,"")</f>
        <v>0.179032177517354</v>
      </c>
      <c r="D20" s="21" t="n">
        <f aca="false">IFERROR(D8/D6,"")</f>
        <v>0.163713844708409</v>
      </c>
      <c r="E20" s="21" t="n">
        <f aca="false">IFERROR(E8/E6,"")</f>
        <v>0.174109907120743</v>
      </c>
      <c r="F20" s="21" t="n">
        <f aca="false">IFERROR(F8/F6,"")</f>
        <v>0.168238724061053</v>
      </c>
      <c r="G20" s="21" t="n">
        <f aca="false">IFERROR(G8/G6,"")</f>
        <v>0.178939864958517</v>
      </c>
      <c r="H20" s="11"/>
    </row>
    <row r="21" customFormat="false" ht="15" hidden="false" customHeight="false" outlineLevel="0" collapsed="false">
      <c r="A21" s="9" t="s">
        <v>277</v>
      </c>
      <c r="B21" s="21" t="n">
        <f aca="false">IFERROR(B15/B6,"")</f>
        <v>0.126248951262299</v>
      </c>
      <c r="C21" s="21" t="n">
        <f aca="false">IFERROR(C15/C6,"")</f>
        <v>0.137649193481264</v>
      </c>
      <c r="D21" s="21" t="n">
        <f aca="false">IFERROR(D15/D6,"")</f>
        <v>0.119790618079324</v>
      </c>
      <c r="E21" s="21" t="n">
        <f aca="false">IFERROR(E15/E6,"")</f>
        <v>0.128424922600619</v>
      </c>
      <c r="F21" s="21" t="n">
        <f aca="false">IFERROR(F15/F6,"")</f>
        <v>0.115074601269079</v>
      </c>
      <c r="G21" s="21" t="n">
        <f aca="false">IFERROR(G15/G6,"")</f>
        <v>0.123022394709225</v>
      </c>
      <c r="H21" s="11"/>
    </row>
    <row r="22" customFormat="false" ht="15" hidden="false" customHeight="false" outlineLevel="0" collapsed="false">
      <c r="A22" s="9" t="s">
        <v>278</v>
      </c>
      <c r="B22" s="21" t="n">
        <f aca="false">IFERROR(B14/B13,"")</f>
        <v>0.226157082748948</v>
      </c>
      <c r="C22" s="21" t="n">
        <f aca="false">IFERROR(C14/C13,"")</f>
        <v>0.200058043919899</v>
      </c>
      <c r="D22" s="21" t="n">
        <f aca="false">IFERROR(D14/D13,"")</f>
        <v>0.235464182460649</v>
      </c>
      <c r="E22" s="21" t="n">
        <f aca="false">IFERROR(E14/E13,"")</f>
        <v>0.230671148719138</v>
      </c>
      <c r="F22" s="21" t="n">
        <f aca="false">IFERROR(F14/F13,"")</f>
        <v>0.278580814717477</v>
      </c>
      <c r="G22" s="21" t="n">
        <f aca="false">IFERROR(G14/G13,"")</f>
        <v>0.285402047624526</v>
      </c>
      <c r="H22" s="11" t="s">
        <v>279</v>
      </c>
    </row>
    <row r="23" customFormat="false" ht="15" hidden="false" customHeight="false" outlineLevel="0" collapsed="false">
      <c r="A23" s="9" t="s">
        <v>280</v>
      </c>
      <c r="B23" s="21" t="n">
        <f aca="false">IFERROR(B9/B6,"")</f>
        <v>0.00675005720387461</v>
      </c>
      <c r="C23" s="21" t="n">
        <f aca="false">IFERROR(C9/C6,"")</f>
        <v>0.00820668187039102</v>
      </c>
      <c r="D23" s="21" t="n">
        <f aca="false">IFERROR(D9/D6,"")</f>
        <v>0.00815381518018925</v>
      </c>
      <c r="E23" s="21" t="n">
        <f aca="false">IFERROR(E9/E6,"")</f>
        <v>0.00789473684210526</v>
      </c>
      <c r="F23" s="21" t="n">
        <f aca="false">IFERROR(F9/F6,"")</f>
        <v>0.00990872539491987</v>
      </c>
      <c r="G23" s="21" t="n">
        <f aca="false">IFERROR(G9/G6,"")</f>
        <v>0.00995980436805734</v>
      </c>
      <c r="H23" s="11" t="s">
        <v>281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2"/>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70"/>
  </cols>
  <sheetData>
    <row r="1" customFormat="false" ht="16.15" hidden="false" customHeight="false" outlineLevel="0" collapsed="false">
      <c r="A1" s="1" t="s">
        <v>282</v>
      </c>
    </row>
    <row r="2" customFormat="false" ht="15" hidden="false" customHeight="false" outlineLevel="0" collapsed="false">
      <c r="A2" s="5" t="s">
        <v>283</v>
      </c>
    </row>
    <row r="4" customFormat="false" ht="23.85" hidden="false" customHeight="false" outlineLevel="0" collapsed="false">
      <c r="A4" s="15" t="s">
        <v>258</v>
      </c>
      <c r="B4" s="16" t="s">
        <v>37</v>
      </c>
      <c r="C4" s="16" t="s">
        <v>38</v>
      </c>
      <c r="D4" s="16" t="s">
        <v>39</v>
      </c>
      <c r="E4" s="16" t="s">
        <v>40</v>
      </c>
      <c r="F4" s="16" t="s">
        <v>41</v>
      </c>
      <c r="G4" s="16" t="s">
        <v>42</v>
      </c>
      <c r="H4" s="16" t="s">
        <v>259</v>
      </c>
    </row>
    <row r="5" customFormat="false" ht="15" hidden="false" customHeight="false" outlineLevel="0" collapsed="false">
      <c r="A5" s="7" t="s">
        <v>284</v>
      </c>
      <c r="B5" s="8"/>
      <c r="C5" s="8"/>
      <c r="D5" s="8"/>
      <c r="E5" s="8"/>
      <c r="F5" s="8"/>
      <c r="G5" s="8"/>
      <c r="H5" s="8"/>
    </row>
    <row r="6" customFormat="false" ht="15" hidden="false" customHeight="false" outlineLevel="0" collapsed="false">
      <c r="A6" s="9" t="s">
        <v>77</v>
      </c>
      <c r="B6" s="18" t="n">
        <f aca="false">IF(RAW_DATA!B17="","",RAW_DATA!B17)</f>
        <v>4683</v>
      </c>
      <c r="C6" s="18" t="n">
        <f aca="false">IF(RAW_DATA!C17="","",RAW_DATA!C17)</f>
        <v>5931</v>
      </c>
      <c r="D6" s="18" t="n">
        <f aca="false">IF(RAW_DATA!D17="","",RAW_DATA!D17)</f>
        <v>5119</v>
      </c>
      <c r="E6" s="12"/>
      <c r="F6" s="18" t="n">
        <f aca="false">IF(RAW_DATA!F17="","",RAW_DATA!F17)</f>
        <v>5177</v>
      </c>
      <c r="G6" s="18" t="n">
        <f aca="false">IF(RAW_DATA!G17="","",RAW_DATA!G17)</f>
        <v>4043</v>
      </c>
      <c r="H6" s="11"/>
    </row>
    <row r="7" customFormat="false" ht="15" hidden="false" customHeight="false" outlineLevel="0" collapsed="false">
      <c r="A7" s="9" t="s">
        <v>79</v>
      </c>
      <c r="B7" s="18" t="n">
        <f aca="false">IF(RAW_DATA!B18="","",RAW_DATA!B18)</f>
        <v>3582</v>
      </c>
      <c r="C7" s="18" t="n">
        <f aca="false">IF(RAW_DATA!C18="","",RAW_DATA!C18)</f>
        <v>4544</v>
      </c>
      <c r="D7" s="18" t="n">
        <f aca="false">IF(RAW_DATA!D18="","",RAW_DATA!D18)</f>
        <v>4023</v>
      </c>
      <c r="E7" s="12"/>
      <c r="F7" s="18" t="n">
        <f aca="false">IF(RAW_DATA!F18="","",RAW_DATA!F18)</f>
        <v>4227</v>
      </c>
      <c r="G7" s="18" t="n">
        <f aca="false">IF(RAW_DATA!G18="","",RAW_DATA!G18)</f>
        <v>4852</v>
      </c>
      <c r="H7" s="11"/>
    </row>
    <row r="8" customFormat="false" ht="15" hidden="false" customHeight="false" outlineLevel="0" collapsed="false">
      <c r="A8" s="9" t="s">
        <v>285</v>
      </c>
      <c r="B8" s="19" t="n">
        <f aca="false">IF(COUNT(RAW_DATA!B19,RAW_DATA!B18)&lt;2,"",RAW_DATA!B19-RAW_DATA!B18)</f>
        <v>1840</v>
      </c>
      <c r="C8" s="19" t="n">
        <f aca="false">IF(COUNT(RAW_DATA!C19,RAW_DATA!C18)&lt;2,"",RAW_DATA!C19-RAW_DATA!C18)</f>
        <v>2512</v>
      </c>
      <c r="D8" s="19" t="n">
        <f aca="false">IF(COUNT(RAW_DATA!D19,RAW_DATA!D18)&lt;2,"",RAW_DATA!D19-RAW_DATA!D18)</f>
        <v>1752</v>
      </c>
      <c r="E8" s="12"/>
      <c r="F8" s="19" t="n">
        <f aca="false">IF(COUNT(RAW_DATA!F19,RAW_DATA!F18)&lt;2,"",RAW_DATA!F19-RAW_DATA!F18)</f>
        <v>1784</v>
      </c>
      <c r="G8" s="19" t="n">
        <f aca="false">IF(COUNT(RAW_DATA!G19,RAW_DATA!G18)&lt;2,"",RAW_DATA!G19-RAW_DATA!G18)</f>
        <v>2494</v>
      </c>
      <c r="H8" s="11" t="s">
        <v>286</v>
      </c>
    </row>
    <row r="9" customFormat="false" ht="15" hidden="false" customHeight="false" outlineLevel="0" collapsed="false">
      <c r="A9" s="22" t="s">
        <v>287</v>
      </c>
      <c r="B9" s="23" t="n">
        <f aca="false">IF(RAW_DATA!B19="","",RAW_DATA!B19)</f>
        <v>5422</v>
      </c>
      <c r="C9" s="23" t="n">
        <f aca="false">IF(RAW_DATA!C19="","",RAW_DATA!C19)</f>
        <v>7056</v>
      </c>
      <c r="D9" s="23" t="n">
        <f aca="false">IF(RAW_DATA!D19="","",RAW_DATA!D19)</f>
        <v>5775</v>
      </c>
      <c r="E9" s="24"/>
      <c r="F9" s="23" t="n">
        <f aca="false">IF(RAW_DATA!F19="","",RAW_DATA!F19)</f>
        <v>6011</v>
      </c>
      <c r="G9" s="23" t="n">
        <f aca="false">IF(RAW_DATA!G19="","",RAW_DATA!G19)</f>
        <v>7346</v>
      </c>
      <c r="H9" s="25"/>
    </row>
    <row r="11" customFormat="false" ht="15" hidden="false" customHeight="false" outlineLevel="0" collapsed="false">
      <c r="A11" s="7" t="s">
        <v>288</v>
      </c>
      <c r="B11" s="8"/>
      <c r="C11" s="8"/>
      <c r="D11" s="8"/>
      <c r="E11" s="8"/>
      <c r="F11" s="8"/>
      <c r="G11" s="8"/>
      <c r="H11" s="8"/>
    </row>
    <row r="12" customFormat="false" ht="15" hidden="false" customHeight="false" outlineLevel="0" collapsed="false">
      <c r="A12" s="9" t="s">
        <v>289</v>
      </c>
      <c r="B12" s="18" t="n">
        <f aca="false">IF(RAW_DATA!B24="","",RAW_DATA!B24)</f>
        <v>3415</v>
      </c>
      <c r="C12" s="18" t="n">
        <f aca="false">IF(RAW_DATA!C24="","",RAW_DATA!C24)</f>
        <v>4326</v>
      </c>
      <c r="D12" s="18" t="n">
        <f aca="false">IF(RAW_DATA!D24="","",RAW_DATA!D24)</f>
        <v>4159</v>
      </c>
      <c r="E12" s="12"/>
      <c r="F12" s="18" t="n">
        <f aca="false">IF(RAW_DATA!F24="","",RAW_DATA!F24)</f>
        <v>6136</v>
      </c>
      <c r="G12" s="18" t="n">
        <f aca="false">IF(RAW_DATA!G24="","",RAW_DATA!G24)</f>
        <v>3941</v>
      </c>
      <c r="H12" s="11"/>
    </row>
    <row r="13" customFormat="false" ht="15" hidden="false" customHeight="false" outlineLevel="0" collapsed="false">
      <c r="A13" s="9" t="s">
        <v>100</v>
      </c>
      <c r="B13" s="18" t="n">
        <f aca="false">IF(RAW_DATA!B27="","",RAW_DATA!B27)</f>
        <v>1156</v>
      </c>
      <c r="C13" s="18" t="n">
        <f aca="false">IF(RAW_DATA!C27="","",RAW_DATA!C27)</f>
        <v>1435</v>
      </c>
      <c r="D13" s="18" t="n">
        <f aca="false">IF(RAW_DATA!D27="","",RAW_DATA!D27)</f>
        <v>1731</v>
      </c>
      <c r="E13" s="12"/>
      <c r="F13" s="18" t="n">
        <f aca="false">IF(RAW_DATA!F27="","",RAW_DATA!F27)</f>
        <v>1330</v>
      </c>
      <c r="G13" s="18" t="n">
        <f aca="false">IF(RAW_DATA!G27="","",RAW_DATA!G27)</f>
        <v>1121</v>
      </c>
      <c r="H13" s="11"/>
    </row>
    <row r="14" customFormat="false" ht="15" hidden="false" customHeight="false" outlineLevel="0" collapsed="false">
      <c r="A14" s="22" t="s">
        <v>290</v>
      </c>
      <c r="B14" s="26" t="n">
        <f aca="false">IFERROR(B12+B13,"")</f>
        <v>4571</v>
      </c>
      <c r="C14" s="26" t="n">
        <f aca="false">IFERROR(C12+C13,"")</f>
        <v>5761</v>
      </c>
      <c r="D14" s="26" t="n">
        <f aca="false">IFERROR(D12+D13,"")</f>
        <v>5890</v>
      </c>
      <c r="E14" s="24"/>
      <c r="F14" s="26" t="n">
        <f aca="false">IFERROR(F12+F13,"")</f>
        <v>7466</v>
      </c>
      <c r="G14" s="26" t="n">
        <f aca="false">IFERROR(G12+G13,"")</f>
        <v>5062</v>
      </c>
      <c r="H14" s="25" t="s">
        <v>291</v>
      </c>
    </row>
    <row r="16" customFormat="false" ht="15" hidden="false" customHeight="false" outlineLevel="0" collapsed="false">
      <c r="A16" s="7" t="s">
        <v>292</v>
      </c>
      <c r="B16" s="8"/>
      <c r="C16" s="8"/>
      <c r="D16" s="8"/>
      <c r="E16" s="8"/>
      <c r="F16" s="8"/>
      <c r="G16" s="8"/>
      <c r="H16" s="8"/>
    </row>
    <row r="17" customFormat="false" ht="15" hidden="false" customHeight="false" outlineLevel="0" collapsed="false">
      <c r="A17" s="9" t="s">
        <v>293</v>
      </c>
      <c r="B17" s="18" t="n">
        <f aca="false">IF(RAW_DATA!B24="","",RAW_DATA!B24)</f>
        <v>3415</v>
      </c>
      <c r="C17" s="18" t="n">
        <f aca="false">IF(RAW_DATA!C24="","",RAW_DATA!C24)</f>
        <v>4326</v>
      </c>
      <c r="D17" s="18" t="n">
        <f aca="false">IF(RAW_DATA!D24="","",RAW_DATA!D24)</f>
        <v>4159</v>
      </c>
      <c r="E17" s="12"/>
      <c r="F17" s="18" t="n">
        <f aca="false">IF(RAW_DATA!F24="","",RAW_DATA!F24)</f>
        <v>6136</v>
      </c>
      <c r="G17" s="18" t="n">
        <f aca="false">IF(RAW_DATA!G24="","",RAW_DATA!G24)</f>
        <v>3941</v>
      </c>
      <c r="H17" s="11"/>
    </row>
    <row r="18" customFormat="false" ht="15" hidden="false" customHeight="false" outlineLevel="0" collapsed="false">
      <c r="A18" s="9" t="s">
        <v>294</v>
      </c>
      <c r="B18" s="18" t="n">
        <f aca="false">IF(RAW_DATA!B97="","",RAW_DATA!B97)</f>
        <v>3387</v>
      </c>
      <c r="C18" s="18" t="n">
        <f aca="false">IF(RAW_DATA!C97="","",RAW_DATA!C97)</f>
        <v>4225</v>
      </c>
      <c r="D18" s="18" t="n">
        <f aca="false">IF(RAW_DATA!D97="","",RAW_DATA!D97)</f>
        <v>4045</v>
      </c>
      <c r="E18" s="12"/>
      <c r="F18" s="18" t="n">
        <f aca="false">IF(RAW_DATA!F97="","",RAW_DATA!F97)</f>
        <v>5950</v>
      </c>
      <c r="G18" s="18" t="n">
        <f aca="false">IF(RAW_DATA!G97="","",RAW_DATA!G97)</f>
        <v>3870</v>
      </c>
      <c r="H18" s="11" t="s">
        <v>295</v>
      </c>
    </row>
    <row r="19" customFormat="false" ht="15" hidden="false" customHeight="false" outlineLevel="0" collapsed="false">
      <c r="A19" s="9" t="s">
        <v>296</v>
      </c>
      <c r="B19" s="18" t="n">
        <f aca="false">IF(RAW_DATA!B25="","",RAW_DATA!B25)</f>
        <v>106</v>
      </c>
      <c r="C19" s="18" t="n">
        <f aca="false">IF(RAW_DATA!C25="","",RAW_DATA!C25)</f>
        <v>101</v>
      </c>
      <c r="D19" s="18" t="n">
        <f aca="false">IF(RAW_DATA!D25="","",RAW_DATA!D25)</f>
        <v>116</v>
      </c>
      <c r="E19" s="12"/>
      <c r="F19" s="18" t="n">
        <f aca="false">IF(RAW_DATA!F25="","",RAW_DATA!F25)</f>
        <v>180</v>
      </c>
      <c r="G19" s="18" t="n">
        <f aca="false">IF(RAW_DATA!G25="","",RAW_DATA!G25)</f>
        <v>65</v>
      </c>
      <c r="H19" s="11"/>
    </row>
    <row r="20" customFormat="false" ht="22.35" hidden="false" customHeight="false" outlineLevel="0" collapsed="false">
      <c r="A20" s="9" t="s">
        <v>297</v>
      </c>
      <c r="B20" s="18" t="n">
        <f aca="false">IF(RAW_DATA!B26="","",RAW_DATA!B26)</f>
        <v>-78</v>
      </c>
      <c r="C20" s="18" t="n">
        <f aca="false">IF(RAW_DATA!C26="","",RAW_DATA!C26)</f>
        <v>0</v>
      </c>
      <c r="D20" s="18" t="n">
        <f aca="false">IF(RAW_DATA!D26="","",RAW_DATA!D26)</f>
        <v>-2</v>
      </c>
      <c r="E20" s="12"/>
      <c r="F20" s="18" t="n">
        <f aca="false">IF(RAW_DATA!F26="","",RAW_DATA!F26)</f>
        <v>6</v>
      </c>
      <c r="G20" s="18" t="n">
        <f aca="false">IF(RAW_DATA!G26="","",RAW_DATA!G26)</f>
        <v>6</v>
      </c>
      <c r="H20" s="11" t="s">
        <v>298</v>
      </c>
    </row>
    <row r="21" customFormat="false" ht="15" hidden="false" customHeight="false" outlineLevel="0" collapsed="false">
      <c r="A21" s="9" t="s">
        <v>100</v>
      </c>
      <c r="B21" s="18" t="n">
        <f aca="false">IF(RAW_DATA!B27="","",RAW_DATA!B27)</f>
        <v>1156</v>
      </c>
      <c r="C21" s="18" t="n">
        <f aca="false">IF(RAW_DATA!C27="","",RAW_DATA!C27)</f>
        <v>1435</v>
      </c>
      <c r="D21" s="18" t="n">
        <f aca="false">IF(RAW_DATA!D27="","",RAW_DATA!D27)</f>
        <v>1731</v>
      </c>
      <c r="E21" s="12"/>
      <c r="F21" s="18" t="n">
        <f aca="false">IF(RAW_DATA!F27="","",RAW_DATA!F27)</f>
        <v>1330</v>
      </c>
      <c r="G21" s="18" t="n">
        <f aca="false">IF(RAW_DATA!G27="","",RAW_DATA!G27)</f>
        <v>1121</v>
      </c>
      <c r="H21" s="11"/>
    </row>
    <row r="22" customFormat="false" ht="15" hidden="false" customHeight="false" outlineLevel="0" collapsed="false">
      <c r="A22" s="9" t="s">
        <v>102</v>
      </c>
      <c r="B22" s="18" t="n">
        <f aca="false">IF(RAW_DATA!B28="","",RAW_DATA!B28)</f>
        <v>52</v>
      </c>
      <c r="C22" s="18" t="n">
        <f aca="false">IF(RAW_DATA!C28="","",RAW_DATA!C28)</f>
        <v>51</v>
      </c>
      <c r="D22" s="18" t="n">
        <f aca="false">IF(RAW_DATA!D28="","",RAW_DATA!D28)</f>
        <v>75</v>
      </c>
      <c r="E22" s="12"/>
      <c r="F22" s="18" t="n">
        <f aca="false">IF(RAW_DATA!F28="","",RAW_DATA!F28)</f>
        <v>68</v>
      </c>
      <c r="G22" s="18" t="n">
        <f aca="false">IF(RAW_DATA!G28="","",RAW_DATA!G28)</f>
        <v>140</v>
      </c>
      <c r="H22" s="11"/>
    </row>
    <row r="23" customFormat="false" ht="15" hidden="false" customHeight="false" outlineLevel="0" collapsed="false">
      <c r="A23" s="9" t="s">
        <v>299</v>
      </c>
      <c r="B23" s="19" t="n">
        <f aca="false">IFERROR(B17-B18,"")</f>
        <v>28</v>
      </c>
      <c r="C23" s="19" t="n">
        <f aca="false">IFERROR(C17-C18,"")</f>
        <v>101</v>
      </c>
      <c r="D23" s="19" t="n">
        <f aca="false">IFERROR(D17-D18,"")</f>
        <v>114</v>
      </c>
      <c r="E23" s="12"/>
      <c r="F23" s="19" t="n">
        <f aca="false">IFERROR(F17-F18,"")</f>
        <v>186</v>
      </c>
      <c r="G23" s="19" t="n">
        <f aca="false">IFERROR(G17-G18,"")</f>
        <v>71</v>
      </c>
      <c r="H23" s="11" t="s">
        <v>300</v>
      </c>
    </row>
    <row r="25" customFormat="false" ht="15" hidden="false" customHeight="false" outlineLevel="0" collapsed="false">
      <c r="A25" s="7" t="s">
        <v>301</v>
      </c>
      <c r="B25" s="8"/>
      <c r="C25" s="8"/>
      <c r="D25" s="8"/>
      <c r="E25" s="8"/>
      <c r="F25" s="8"/>
      <c r="G25" s="8"/>
      <c r="H25" s="8"/>
    </row>
    <row r="26" customFormat="false" ht="15" hidden="false" customHeight="false" outlineLevel="0" collapsed="false">
      <c r="A26" s="9" t="s">
        <v>84</v>
      </c>
      <c r="B26" s="18" t="n">
        <f aca="false">IF(RAW_DATA!B20="","",RAW_DATA!B20)</f>
        <v>8896</v>
      </c>
      <c r="C26" s="18" t="n">
        <f aca="false">IF(RAW_DATA!C20="","",RAW_DATA!C20)</f>
        <v>11100</v>
      </c>
      <c r="D26" s="18" t="n">
        <f aca="false">IF(RAW_DATA!D20="","",RAW_DATA!D20)</f>
        <v>10355</v>
      </c>
      <c r="E26" s="12"/>
      <c r="F26" s="18" t="n">
        <f aca="false">IF(RAW_DATA!F20="","",RAW_DATA!F20)</f>
        <v>10258</v>
      </c>
      <c r="G26" s="18" t="n">
        <f aca="false">IF(RAW_DATA!G20="","",RAW_DATA!G20)</f>
        <v>10994</v>
      </c>
      <c r="H26" s="11"/>
    </row>
    <row r="27" customFormat="false" ht="15" hidden="false" customHeight="false" outlineLevel="0" collapsed="false">
      <c r="A27" s="9" t="s">
        <v>86</v>
      </c>
      <c r="B27" s="18" t="n">
        <f aca="false">IF(RAW_DATA!B21="","",RAW_DATA!B21)</f>
        <v>4429</v>
      </c>
      <c r="C27" s="18" t="n">
        <f aca="false">IF(RAW_DATA!C21="","",RAW_DATA!C21)</f>
        <v>5232</v>
      </c>
      <c r="D27" s="18" t="n">
        <f aca="false">IF(RAW_DATA!D21="","",RAW_DATA!D21)</f>
        <v>5057</v>
      </c>
      <c r="E27" s="12"/>
      <c r="F27" s="18" t="n">
        <f aca="false">IF(RAW_DATA!F21="","",RAW_DATA!F21)</f>
        <v>5053</v>
      </c>
      <c r="G27" s="18" t="n">
        <f aca="false">IF(RAW_DATA!G21="","",RAW_DATA!G21)</f>
        <v>4649</v>
      </c>
      <c r="H27" s="11"/>
    </row>
    <row r="28" customFormat="false" ht="15" hidden="false" customHeight="false" outlineLevel="0" collapsed="false">
      <c r="A28" s="9" t="s">
        <v>302</v>
      </c>
      <c r="B28" s="19" t="n">
        <f aca="false">IF(COUNT(RAW_DATA!B22,RAW_DATA!B20,RAW_DATA!B21)&lt;3,"",RAW_DATA!B22-RAW_DATA!B20-RAW_DATA!B21)</f>
        <v>1536</v>
      </c>
      <c r="C28" s="19" t="n">
        <f aca="false">IF(COUNT(RAW_DATA!C22,RAW_DATA!C20,RAW_DATA!C21)&lt;3,"",RAW_DATA!C22-RAW_DATA!C20-RAW_DATA!C21)</f>
        <v>1691</v>
      </c>
      <c r="D28" s="19" t="n">
        <f aca="false">IF(COUNT(RAW_DATA!D22,RAW_DATA!D20,RAW_DATA!D21)&lt;3,"",RAW_DATA!D22-RAW_DATA!D20-RAW_DATA!D21)</f>
        <v>1445</v>
      </c>
      <c r="E28" s="12"/>
      <c r="F28" s="19" t="n">
        <f aca="false">IF(COUNT(RAW_DATA!F22,RAW_DATA!F20,RAW_DATA!F21)&lt;3,"",RAW_DATA!F22-RAW_DATA!F20-RAW_DATA!F21)</f>
        <v>1379</v>
      </c>
      <c r="G28" s="19" t="n">
        <f aca="false">IF(COUNT(RAW_DATA!G22,RAW_DATA!G20,RAW_DATA!G21)&lt;3,"",RAW_DATA!G22-RAW_DATA!G20-RAW_DATA!G21)</f>
        <v>1296</v>
      </c>
      <c r="H28" s="11" t="s">
        <v>303</v>
      </c>
    </row>
    <row r="29" customFormat="false" ht="15" hidden="false" customHeight="false" outlineLevel="0" collapsed="false">
      <c r="A29" s="22" t="s">
        <v>304</v>
      </c>
      <c r="B29" s="23" t="n">
        <f aca="false">IF(RAW_DATA!B22="","",RAW_DATA!B22)</f>
        <v>14861</v>
      </c>
      <c r="C29" s="23" t="n">
        <f aca="false">IF(RAW_DATA!C22="","",RAW_DATA!C22)</f>
        <v>18023</v>
      </c>
      <c r="D29" s="23" t="n">
        <f aca="false">IF(RAW_DATA!D22="","",RAW_DATA!D22)</f>
        <v>16857</v>
      </c>
      <c r="E29" s="24"/>
      <c r="F29" s="23" t="n">
        <f aca="false">IF(RAW_DATA!F22="","",RAW_DATA!F22)</f>
        <v>16690</v>
      </c>
      <c r="G29" s="23" t="n">
        <f aca="false">IF(RAW_DATA!G22="","",RAW_DATA!G22)</f>
        <v>16939</v>
      </c>
      <c r="H29" s="25" t="s">
        <v>305</v>
      </c>
    </row>
    <row r="30" customFormat="false" ht="22.35" hidden="false" customHeight="false" outlineLevel="0" collapsed="false">
      <c r="A30" s="14" t="s">
        <v>306</v>
      </c>
      <c r="B30" s="27" t="n">
        <f aca="false">IFERROR(B6+B9-B29,"")</f>
        <v>-4756</v>
      </c>
      <c r="C30" s="27" t="n">
        <f aca="false">IFERROR(C6+C9-C29,"")</f>
        <v>-5036</v>
      </c>
      <c r="D30" s="27" t="n">
        <f aca="false">IFERROR(D6+D9-D29,"")</f>
        <v>-5963</v>
      </c>
      <c r="E30" s="12"/>
      <c r="F30" s="27" t="n">
        <f aca="false">IFERROR(F6+F9-F29,"")</f>
        <v>-5502</v>
      </c>
      <c r="G30" s="27" t="n">
        <f aca="false">IFERROR(G6+G9-G29,"")</f>
        <v>-5550</v>
      </c>
      <c r="H30" s="11" t="s">
        <v>307</v>
      </c>
    </row>
    <row r="32" customFormat="false" ht="15" hidden="false" customHeight="false" outlineLevel="0" collapsed="false">
      <c r="A32" s="7" t="s">
        <v>308</v>
      </c>
      <c r="B32" s="8"/>
      <c r="C32" s="8"/>
      <c r="D32" s="8"/>
      <c r="E32" s="8"/>
      <c r="F32" s="8"/>
      <c r="G32" s="8"/>
      <c r="H32" s="8"/>
    </row>
    <row r="33" customFormat="false" ht="15" hidden="false" customHeight="false" outlineLevel="0" collapsed="false">
      <c r="A33" s="9" t="s">
        <v>309</v>
      </c>
      <c r="B33" s="18" t="str">
        <f aca="false">IF(RAW_DATA!B36="","",RAW_DATA!B36)</f>
        <v/>
      </c>
      <c r="C33" s="18" t="str">
        <f aca="false">IF(RAW_DATA!C36="","",RAW_DATA!C36)</f>
        <v/>
      </c>
      <c r="D33" s="18" t="str">
        <f aca="false">IF(RAW_DATA!D36="","",RAW_DATA!D36)</f>
        <v/>
      </c>
      <c r="E33" s="12"/>
      <c r="F33" s="18" t="str">
        <f aca="false">IF(RAW_DATA!F36="","",RAW_DATA!F36)</f>
        <v/>
      </c>
      <c r="G33" s="18" t="str">
        <f aca="false">IF(RAW_DATA!G36="","",RAW_DATA!G36)</f>
        <v/>
      </c>
      <c r="H33" s="11"/>
    </row>
    <row r="34" customFormat="false" ht="15" hidden="false" customHeight="false" outlineLevel="0" collapsed="false">
      <c r="A34" s="9" t="s">
        <v>310</v>
      </c>
      <c r="B34" s="18" t="str">
        <f aca="false">IF(RAW_DATA!B37="","",RAW_DATA!B37)</f>
        <v/>
      </c>
      <c r="C34" s="18" t="str">
        <f aca="false">IF(RAW_DATA!C37="","",RAW_DATA!C37)</f>
        <v/>
      </c>
      <c r="D34" s="18" t="str">
        <f aca="false">IF(RAW_DATA!D37="","",RAW_DATA!D37)</f>
        <v/>
      </c>
      <c r="E34" s="12"/>
      <c r="F34" s="18" t="str">
        <f aca="false">IF(RAW_DATA!F37="","",RAW_DATA!F37)</f>
        <v/>
      </c>
      <c r="G34" s="18" t="str">
        <f aca="false">IF(RAW_DATA!G37="","",RAW_DATA!G37)</f>
        <v/>
      </c>
      <c r="H34" s="11"/>
    </row>
    <row r="35" customFormat="false" ht="15" hidden="false" customHeight="false" outlineLevel="0" collapsed="false">
      <c r="A35" s="9" t="s">
        <v>311</v>
      </c>
      <c r="B35" s="18" t="str">
        <f aca="false">IF(RAW_DATA!B38="","",RAW_DATA!B38)</f>
        <v/>
      </c>
      <c r="C35" s="18" t="str">
        <f aca="false">IF(RAW_DATA!C38="","",RAW_DATA!C38)</f>
        <v/>
      </c>
      <c r="D35" s="18" t="str">
        <f aca="false">IF(RAW_DATA!D38="","",RAW_DATA!D38)</f>
        <v/>
      </c>
      <c r="E35" s="12"/>
      <c r="F35" s="18" t="str">
        <f aca="false">IF(RAW_DATA!F38="","",RAW_DATA!F38)</f>
        <v/>
      </c>
      <c r="G35" s="18" t="str">
        <f aca="false">IF(RAW_DATA!G38="","",RAW_DATA!G38)</f>
        <v/>
      </c>
      <c r="H35" s="11"/>
    </row>
    <row r="36" customFormat="false" ht="15" hidden="false" customHeight="false" outlineLevel="0" collapsed="false">
      <c r="A36" s="9" t="s">
        <v>312</v>
      </c>
      <c r="B36" s="18" t="str">
        <f aca="false">IF(RAW_DATA!B39="","",RAW_DATA!B39)</f>
        <v/>
      </c>
      <c r="C36" s="18" t="str">
        <f aca="false">IF(RAW_DATA!C39="","",RAW_DATA!C39)</f>
        <v/>
      </c>
      <c r="D36" s="18" t="str">
        <f aca="false">IF(RAW_DATA!D39="","",RAW_DATA!D39)</f>
        <v/>
      </c>
      <c r="E36" s="12"/>
      <c r="F36" s="18" t="str">
        <f aca="false">IF(RAW_DATA!F39="","",RAW_DATA!F39)</f>
        <v/>
      </c>
      <c r="G36" s="18" t="str">
        <f aca="false">IF(RAW_DATA!G39="","",RAW_DATA!G39)</f>
        <v/>
      </c>
      <c r="H36" s="11"/>
    </row>
    <row r="37" customFormat="false" ht="15" hidden="false" customHeight="false" outlineLevel="0" collapsed="false">
      <c r="A37" s="9" t="s">
        <v>313</v>
      </c>
      <c r="B37" s="18" t="str">
        <f aca="false">IF(RAW_DATA!B40="","",RAW_DATA!B40)</f>
        <v/>
      </c>
      <c r="C37" s="18" t="str">
        <f aca="false">IF(RAW_DATA!C40="","",RAW_DATA!C40)</f>
        <v/>
      </c>
      <c r="D37" s="18" t="str">
        <f aca="false">IF(RAW_DATA!D40="","",RAW_DATA!D40)</f>
        <v/>
      </c>
      <c r="E37" s="12"/>
      <c r="F37" s="18" t="str">
        <f aca="false">IF(RAW_DATA!F40="","",RAW_DATA!F40)</f>
        <v/>
      </c>
      <c r="G37" s="18" t="str">
        <f aca="false">IF(RAW_DATA!G40="","",RAW_DATA!G40)</f>
        <v/>
      </c>
      <c r="H37" s="11"/>
    </row>
    <row r="38" customFormat="false" ht="15" hidden="false" customHeight="false" outlineLevel="0" collapsed="false">
      <c r="A38" s="9" t="s">
        <v>314</v>
      </c>
      <c r="B38" s="19" t="str">
        <f aca="false">IFERROR(B33+B34+B35+B36+B37,"")</f>
        <v/>
      </c>
      <c r="C38" s="19" t="str">
        <f aca="false">IFERROR(C33+C34+C35+C36+C37,"")</f>
        <v/>
      </c>
      <c r="D38" s="19" t="str">
        <f aca="false">IFERROR(D33+D34+D35+D36+D37,"")</f>
        <v/>
      </c>
      <c r="E38" s="12"/>
      <c r="F38" s="19" t="str">
        <f aca="false">IFERROR(F33+F34+F35+F36+F37,"")</f>
        <v/>
      </c>
      <c r="G38" s="19" t="str">
        <f aca="false">IFERROR(G33+G34+G35+G36+G37,"")</f>
        <v/>
      </c>
      <c r="H38" s="11" t="s">
        <v>315</v>
      </c>
    </row>
    <row r="39" customFormat="false" ht="15" hidden="false" customHeight="false" outlineLevel="0" collapsed="false">
      <c r="A39" s="22" t="s">
        <v>316</v>
      </c>
      <c r="B39" s="23" t="n">
        <f aca="false">IF(RAW_DATA!B29="","",RAW_DATA!B29)</f>
        <v>7252</v>
      </c>
      <c r="C39" s="23" t="n">
        <f aca="false">IF(RAW_DATA!C29="","",RAW_DATA!C29)</f>
        <v>5775</v>
      </c>
      <c r="D39" s="23" t="n">
        <f aca="false">IF(RAW_DATA!D29="","",RAW_DATA!D29)</f>
        <v>5087</v>
      </c>
      <c r="E39" s="24"/>
      <c r="F39" s="23" t="n">
        <f aca="false">IF(RAW_DATA!F29="","",RAW_DATA!F29)</f>
        <v>6987</v>
      </c>
      <c r="G39" s="23" t="n">
        <f aca="false">IF(RAW_DATA!G29="","",RAW_DATA!G29)</f>
        <v>2582</v>
      </c>
      <c r="H39" s="25"/>
    </row>
    <row r="40" customFormat="false" ht="15" hidden="false" customHeight="false" outlineLevel="0" collapsed="false">
      <c r="A40" s="7" t="s">
        <v>317</v>
      </c>
      <c r="B40" s="8"/>
      <c r="C40" s="8"/>
      <c r="D40" s="8"/>
      <c r="E40" s="8"/>
      <c r="F40" s="8"/>
      <c r="G40" s="8"/>
      <c r="H40" s="8"/>
    </row>
    <row r="41" customFormat="false" ht="15" hidden="false" customHeight="false" outlineLevel="0" collapsed="false">
      <c r="A41" s="9" t="s">
        <v>309</v>
      </c>
      <c r="B41" s="18" t="str">
        <f aca="false">IF(RAW_DATA!B41="","",RAW_DATA!B41)</f>
        <v/>
      </c>
      <c r="C41" s="18" t="str">
        <f aca="false">IF(RAW_DATA!C41="","",RAW_DATA!C41)</f>
        <v/>
      </c>
      <c r="D41" s="18" t="str">
        <f aca="false">IF(RAW_DATA!D41="","",RAW_DATA!D41)</f>
        <v/>
      </c>
      <c r="E41" s="12"/>
      <c r="F41" s="18" t="str">
        <f aca="false">IF(RAW_DATA!F41="","",RAW_DATA!F41)</f>
        <v/>
      </c>
      <c r="G41" s="18" t="str">
        <f aca="false">IF(RAW_DATA!G41="","",RAW_DATA!G41)</f>
        <v/>
      </c>
      <c r="H41" s="11"/>
    </row>
    <row r="42" customFormat="false" ht="15" hidden="false" customHeight="false" outlineLevel="0" collapsed="false">
      <c r="A42" s="9" t="s">
        <v>310</v>
      </c>
      <c r="B42" s="18" t="str">
        <f aca="false">IF(RAW_DATA!B42="","",RAW_DATA!B42)</f>
        <v/>
      </c>
      <c r="C42" s="18" t="str">
        <f aca="false">IF(RAW_DATA!C42="","",RAW_DATA!C42)</f>
        <v/>
      </c>
      <c r="D42" s="18" t="str">
        <f aca="false">IF(RAW_DATA!D42="","",RAW_DATA!D42)</f>
        <v/>
      </c>
      <c r="E42" s="12"/>
      <c r="F42" s="18" t="str">
        <f aca="false">IF(RAW_DATA!F42="","",RAW_DATA!F42)</f>
        <v/>
      </c>
      <c r="G42" s="18" t="str">
        <f aca="false">IF(RAW_DATA!G42="","",RAW_DATA!G42)</f>
        <v/>
      </c>
      <c r="H42" s="11"/>
    </row>
    <row r="43" customFormat="false" ht="15" hidden="false" customHeight="false" outlineLevel="0" collapsed="false">
      <c r="A43" s="9" t="s">
        <v>311</v>
      </c>
      <c r="B43" s="18" t="str">
        <f aca="false">IF(RAW_DATA!B43="","",RAW_DATA!B43)</f>
        <v/>
      </c>
      <c r="C43" s="18" t="str">
        <f aca="false">IF(RAW_DATA!C43="","",RAW_DATA!C43)</f>
        <v/>
      </c>
      <c r="D43" s="18" t="str">
        <f aca="false">IF(RAW_DATA!D43="","",RAW_DATA!D43)</f>
        <v/>
      </c>
      <c r="E43" s="12"/>
      <c r="F43" s="18" t="str">
        <f aca="false">IF(RAW_DATA!F43="","",RAW_DATA!F43)</f>
        <v/>
      </c>
      <c r="G43" s="18" t="str">
        <f aca="false">IF(RAW_DATA!G43="","",RAW_DATA!G43)</f>
        <v/>
      </c>
      <c r="H43" s="11"/>
    </row>
    <row r="44" customFormat="false" ht="15" hidden="false" customHeight="false" outlineLevel="0" collapsed="false">
      <c r="A44" s="9" t="s">
        <v>312</v>
      </c>
      <c r="B44" s="18" t="str">
        <f aca="false">IF(RAW_DATA!B44="","",RAW_DATA!B44)</f>
        <v/>
      </c>
      <c r="C44" s="18" t="str">
        <f aca="false">IF(RAW_DATA!C44="","",RAW_DATA!C44)</f>
        <v/>
      </c>
      <c r="D44" s="18" t="str">
        <f aca="false">IF(RAW_DATA!D44="","",RAW_DATA!D44)</f>
        <v/>
      </c>
      <c r="E44" s="12"/>
      <c r="F44" s="18" t="str">
        <f aca="false">IF(RAW_DATA!F44="","",RAW_DATA!F44)</f>
        <v/>
      </c>
      <c r="G44" s="18" t="str">
        <f aca="false">IF(RAW_DATA!G44="","",RAW_DATA!G44)</f>
        <v/>
      </c>
      <c r="H44" s="11"/>
    </row>
    <row r="45" customFormat="false" ht="15" hidden="false" customHeight="false" outlineLevel="0" collapsed="false">
      <c r="A45" s="9" t="s">
        <v>313</v>
      </c>
      <c r="B45" s="18" t="str">
        <f aca="false">IF(RAW_DATA!B45="","",RAW_DATA!B45)</f>
        <v/>
      </c>
      <c r="C45" s="18" t="str">
        <f aca="false">IF(RAW_DATA!C45="","",RAW_DATA!C45)</f>
        <v/>
      </c>
      <c r="D45" s="18" t="str">
        <f aca="false">IF(RAW_DATA!D45="","",RAW_DATA!D45)</f>
        <v/>
      </c>
      <c r="E45" s="12"/>
      <c r="F45" s="18" t="str">
        <f aca="false">IF(RAW_DATA!F45="","",RAW_DATA!F45)</f>
        <v/>
      </c>
      <c r="G45" s="18" t="str">
        <f aca="false">IF(RAW_DATA!G45="","",RAW_DATA!G45)</f>
        <v/>
      </c>
      <c r="H45" s="11"/>
    </row>
    <row r="46" customFormat="false" ht="15" hidden="false" customHeight="false" outlineLevel="0" collapsed="false">
      <c r="A46" s="9" t="s">
        <v>318</v>
      </c>
      <c r="B46" s="19" t="str">
        <f aca="false">IFERROR(B41+B42+B43+B44+B45,"")</f>
        <v/>
      </c>
      <c r="C46" s="19" t="str">
        <f aca="false">IFERROR(C41+C42+C43+C44+C45,"")</f>
        <v/>
      </c>
      <c r="D46" s="19" t="str">
        <f aca="false">IFERROR(D41+D42+D43+D44+D45,"")</f>
        <v/>
      </c>
      <c r="E46" s="12"/>
      <c r="F46" s="19" t="str">
        <f aca="false">IFERROR(F41+F42+F43+F44+F45,"")</f>
        <v/>
      </c>
      <c r="G46" s="19" t="str">
        <f aca="false">IFERROR(G41+G42+G43+G44+G45,"")</f>
        <v/>
      </c>
      <c r="H46" s="11"/>
    </row>
    <row r="47" customFormat="false" ht="15" hidden="false" customHeight="false" outlineLevel="0" collapsed="false">
      <c r="A47" s="22" t="s">
        <v>319</v>
      </c>
      <c r="B47" s="23" t="n">
        <f aca="false">IF(RAW_DATA!B30="","",RAW_DATA!B30)</f>
        <v>22881</v>
      </c>
      <c r="C47" s="23" t="n">
        <f aca="false">IF(RAW_DATA!C30="","",RAW_DATA!C30)</f>
        <v>23713</v>
      </c>
      <c r="D47" s="23" t="n">
        <f aca="false">IF(RAW_DATA!D30="","",RAW_DATA!D30)</f>
        <v>24535</v>
      </c>
      <c r="E47" s="24"/>
      <c r="F47" s="23" t="n">
        <f aca="false">IF(RAW_DATA!F30="","",RAW_DATA!F30)</f>
        <v>25066</v>
      </c>
      <c r="G47" s="23" t="n">
        <f aca="false">IF(RAW_DATA!G30="","",RAW_DATA!G30)</f>
        <v>25696</v>
      </c>
      <c r="H47" s="25"/>
    </row>
    <row r="48" customFormat="false" ht="15" hidden="false" customHeight="false" outlineLevel="0" collapsed="false">
      <c r="A48" s="7" t="s">
        <v>320</v>
      </c>
      <c r="B48" s="8"/>
      <c r="C48" s="8"/>
      <c r="D48" s="8"/>
      <c r="E48" s="8"/>
      <c r="F48" s="8"/>
      <c r="G48" s="8"/>
      <c r="H48" s="8"/>
    </row>
    <row r="49" customFormat="false" ht="15" hidden="false" customHeight="false" outlineLevel="0" collapsed="false">
      <c r="A49" s="14" t="s">
        <v>321</v>
      </c>
      <c r="B49" s="27" t="n">
        <f aca="false">IFERROR(B39+B47,"")</f>
        <v>30133</v>
      </c>
      <c r="C49" s="27" t="n">
        <f aca="false">IFERROR(C39+C47,"")</f>
        <v>29488</v>
      </c>
      <c r="D49" s="27" t="n">
        <f aca="false">IFERROR(D39+D47,"")</f>
        <v>29622</v>
      </c>
      <c r="E49" s="12"/>
      <c r="F49" s="27" t="n">
        <f aca="false">IFERROR(F39+F47,"")</f>
        <v>32053</v>
      </c>
      <c r="G49" s="27" t="n">
        <f aca="false">IFERROR(G39+G47,"")</f>
        <v>28278</v>
      </c>
      <c r="H49" s="11"/>
    </row>
    <row r="50" customFormat="false" ht="15" hidden="false" customHeight="false" outlineLevel="0" collapsed="false">
      <c r="A50" s="9" t="s">
        <v>322</v>
      </c>
      <c r="B50" s="18" t="n">
        <f aca="false">IF(RAW_DATA!B31="","",RAW_DATA!B31)</f>
        <v>30133</v>
      </c>
      <c r="C50" s="18" t="n">
        <f aca="false">IF(RAW_DATA!C31="","",RAW_DATA!C31)</f>
        <v>29488</v>
      </c>
      <c r="D50" s="18" t="n">
        <f aca="false">IF(RAW_DATA!D31="","",RAW_DATA!D31)</f>
        <v>29622</v>
      </c>
      <c r="E50" s="12"/>
      <c r="F50" s="18" t="n">
        <f aca="false">IF(RAW_DATA!F31="","",RAW_DATA!F31)</f>
        <v>32053</v>
      </c>
      <c r="G50" s="18" t="n">
        <f aca="false">IF(RAW_DATA!G31="","",RAW_DATA!G31)</f>
        <v>28278</v>
      </c>
      <c r="H50" s="11"/>
    </row>
    <row r="51" customFormat="false" ht="15" hidden="false" customHeight="false" outlineLevel="0" collapsed="false">
      <c r="A51" s="9" t="s">
        <v>323</v>
      </c>
      <c r="B51" s="18" t="n">
        <f aca="false">IF(RAW_DATA!B34="","",RAW_DATA!B34)</f>
        <v>27621</v>
      </c>
      <c r="C51" s="18" t="n">
        <f aca="false">IF(RAW_DATA!C34="","",RAW_DATA!C34)</f>
        <v>26512</v>
      </c>
      <c r="D51" s="18" t="str">
        <f aca="false">IF(RAW_DATA!D34="","",RAW_DATA!D34)</f>
        <v/>
      </c>
      <c r="E51" s="12"/>
      <c r="F51" s="18" t="str">
        <f aca="false">IF(RAW_DATA!F34="","",RAW_DATA!F34)</f>
        <v/>
      </c>
      <c r="G51" s="18" t="n">
        <f aca="false">IF(RAW_DATA!G34="","",RAW_DATA!G34)</f>
        <v>26038</v>
      </c>
      <c r="H51" s="11"/>
    </row>
    <row r="52" customFormat="false" ht="15" hidden="false" customHeight="false" outlineLevel="0" collapsed="false">
      <c r="A52" s="9" t="s">
        <v>324</v>
      </c>
      <c r="B52" s="18" t="n">
        <f aca="false">IF(RAW_DATA!B35="","",RAW_DATA!B35)</f>
        <v>402</v>
      </c>
      <c r="C52" s="18" t="n">
        <f aca="false">IF(RAW_DATA!C35="","",RAW_DATA!C35)</f>
        <v>519</v>
      </c>
      <c r="D52" s="18" t="str">
        <f aca="false">IF(RAW_DATA!D35="","",RAW_DATA!D35)</f>
        <v/>
      </c>
      <c r="E52" s="12"/>
      <c r="F52" s="18" t="str">
        <f aca="false">IF(RAW_DATA!F35="","",RAW_DATA!F35)</f>
        <v/>
      </c>
      <c r="G52" s="18" t="n">
        <f aca="false">IF(RAW_DATA!G35="","",RAW_DATA!G35)</f>
        <v>233</v>
      </c>
      <c r="H52" s="11"/>
    </row>
    <row r="54" customFormat="false" ht="15" hidden="false" customHeight="false" outlineLevel="0" collapsed="false">
      <c r="A54" s="7" t="s">
        <v>325</v>
      </c>
      <c r="B54" s="8"/>
      <c r="C54" s="8"/>
      <c r="D54" s="8"/>
      <c r="E54" s="8"/>
      <c r="F54" s="8"/>
      <c r="G54" s="8"/>
      <c r="H54" s="8"/>
    </row>
    <row r="55" customFormat="false" ht="15" hidden="false" customHeight="false" outlineLevel="0" collapsed="false">
      <c r="A55" s="9" t="s">
        <v>326</v>
      </c>
      <c r="B55" s="19" t="n">
        <f aca="false">B49</f>
        <v>30133</v>
      </c>
      <c r="C55" s="19" t="n">
        <f aca="false">C49</f>
        <v>29488</v>
      </c>
      <c r="D55" s="19" t="n">
        <f aca="false">D49</f>
        <v>29622</v>
      </c>
      <c r="E55" s="12"/>
      <c r="F55" s="19" t="n">
        <f aca="false">F49</f>
        <v>32053</v>
      </c>
      <c r="G55" s="19" t="n">
        <f aca="false">G49</f>
        <v>28278</v>
      </c>
      <c r="H55" s="11"/>
    </row>
    <row r="56" customFormat="false" ht="22.35" hidden="false" customHeight="false" outlineLevel="0" collapsed="false">
      <c r="A56" s="9" t="s">
        <v>327</v>
      </c>
      <c r="B56" s="19" t="n">
        <f aca="false">IFERROR(-B12,"")</f>
        <v>-3415</v>
      </c>
      <c r="C56" s="19" t="n">
        <f aca="false">IFERROR(-C12,"")</f>
        <v>-4326</v>
      </c>
      <c r="D56" s="19" t="n">
        <f aca="false">IFERROR(-D12,"")</f>
        <v>-4159</v>
      </c>
      <c r="E56" s="12"/>
      <c r="F56" s="19" t="n">
        <f aca="false">IFERROR(-F12,"")</f>
        <v>-6136</v>
      </c>
      <c r="G56" s="19" t="n">
        <f aca="false">IFERROR(-G12,"")</f>
        <v>-3941</v>
      </c>
      <c r="H56" s="11" t="s">
        <v>328</v>
      </c>
    </row>
    <row r="57" customFormat="false" ht="15" hidden="false" customHeight="false" outlineLevel="0" collapsed="false">
      <c r="A57" s="9" t="s">
        <v>329</v>
      </c>
      <c r="B57" s="19" t="n">
        <f aca="false">IFERROR(-B13,"")</f>
        <v>-1156</v>
      </c>
      <c r="C57" s="19" t="n">
        <f aca="false">IFERROR(-C13,"")</f>
        <v>-1435</v>
      </c>
      <c r="D57" s="19" t="n">
        <f aca="false">IFERROR(-D13,"")</f>
        <v>-1731</v>
      </c>
      <c r="E57" s="12"/>
      <c r="F57" s="19" t="n">
        <f aca="false">IFERROR(-F13,"")</f>
        <v>-1330</v>
      </c>
      <c r="G57" s="19" t="n">
        <f aca="false">IFERROR(-G13,"")</f>
        <v>-1121</v>
      </c>
      <c r="H57" s="11"/>
    </row>
    <row r="58" customFormat="false" ht="15" hidden="false" customHeight="false" outlineLevel="0" collapsed="false">
      <c r="A58" s="9" t="s">
        <v>330</v>
      </c>
      <c r="B58" s="19" t="n">
        <f aca="false">IFERROR(-B22,"")</f>
        <v>-52</v>
      </c>
      <c r="C58" s="19" t="n">
        <f aca="false">IFERROR(-C22,"")</f>
        <v>-51</v>
      </c>
      <c r="D58" s="19" t="n">
        <f aca="false">IFERROR(-D22,"")</f>
        <v>-75</v>
      </c>
      <c r="E58" s="12"/>
      <c r="F58" s="19" t="n">
        <f aca="false">IFERROR(-F22,"")</f>
        <v>-68</v>
      </c>
      <c r="G58" s="19" t="n">
        <f aca="false">IFERROR(-G22,"")</f>
        <v>-140</v>
      </c>
      <c r="H58" s="11" t="s">
        <v>331</v>
      </c>
    </row>
    <row r="59" customFormat="false" ht="15" hidden="false" customHeight="false" outlineLevel="0" collapsed="false">
      <c r="A59" s="22" t="s">
        <v>332</v>
      </c>
      <c r="B59" s="26" t="n">
        <f aca="false">IFERROR(B55+B56+B57+B58,"")</f>
        <v>25510</v>
      </c>
      <c r="C59" s="26" t="n">
        <f aca="false">IFERROR(C55+C56+C57+C58,"")</f>
        <v>23676</v>
      </c>
      <c r="D59" s="26" t="n">
        <f aca="false">IFERROR(D55+D56+D57+D58,"")</f>
        <v>23657</v>
      </c>
      <c r="E59" s="24"/>
      <c r="F59" s="26" t="n">
        <f aca="false">IFERROR(F55+F56+F57+F58,"")</f>
        <v>24519</v>
      </c>
      <c r="G59" s="26" t="n">
        <f aca="false">IFERROR(G55+G56+G57+G58,"")</f>
        <v>23076</v>
      </c>
      <c r="H59" s="25"/>
    </row>
    <row r="60" customFormat="false" ht="15" hidden="false" customHeight="false" outlineLevel="0" collapsed="false">
      <c r="A60" s="14" t="s">
        <v>333</v>
      </c>
      <c r="B60" s="17" t="n">
        <f aca="false">IF(RAW_DATA!B32="","",RAW_DATA!B32)</f>
        <v>25510</v>
      </c>
      <c r="C60" s="17" t="n">
        <f aca="false">IF(RAW_DATA!C32="","",RAW_DATA!C32)</f>
        <v>23676</v>
      </c>
      <c r="D60" s="17" t="n">
        <f aca="false">IF(RAW_DATA!D32="","",RAW_DATA!D32)</f>
        <v>23657</v>
      </c>
      <c r="E60" s="12"/>
      <c r="F60" s="17" t="n">
        <f aca="false">IF(RAW_DATA!F32="","",RAW_DATA!F32)</f>
        <v>24519</v>
      </c>
      <c r="G60" s="17" t="n">
        <f aca="false">IF(RAW_DATA!G32="","",RAW_DATA!G32)</f>
        <v>23076</v>
      </c>
      <c r="H60" s="11"/>
    </row>
    <row r="61" customFormat="false" ht="15" hidden="false" customHeight="false" outlineLevel="0" collapsed="false">
      <c r="A61" s="9" t="s">
        <v>334</v>
      </c>
      <c r="B61" s="19" t="n">
        <f aca="false">IFERROR(B59-B60,"")</f>
        <v>0</v>
      </c>
      <c r="C61" s="19" t="n">
        <f aca="false">IFERROR(C59-C60,"")</f>
        <v>0</v>
      </c>
      <c r="D61" s="19" t="n">
        <f aca="false">IFERROR(D59-D60,"")</f>
        <v>0</v>
      </c>
      <c r="E61" s="12"/>
      <c r="F61" s="19" t="n">
        <f aca="false">IFERROR(F59-F60,"")</f>
        <v>0</v>
      </c>
      <c r="G61" s="19" t="n">
        <f aca="false">IFERROR(G59-G60,"")</f>
        <v>0</v>
      </c>
      <c r="H61" s="11"/>
    </row>
    <row r="62" customFormat="false" ht="15" hidden="false" customHeight="false" outlineLevel="0" collapsed="false">
      <c r="A62" s="9" t="s">
        <v>335</v>
      </c>
      <c r="B62" s="19" t="n">
        <f aca="false">IFERROR(B55+B56+B57-B60,"")</f>
        <v>52</v>
      </c>
      <c r="C62" s="19" t="n">
        <f aca="false">IFERROR(C55+C56+C57-C60,"")</f>
        <v>51</v>
      </c>
      <c r="D62" s="19" t="n">
        <f aca="false">IFERROR(D55+D56+D57-D60,"")</f>
        <v>75</v>
      </c>
      <c r="E62" s="12"/>
      <c r="F62" s="19" t="n">
        <f aca="false">IFERROR(F55+F56+F57-F60,"")</f>
        <v>68</v>
      </c>
      <c r="G62" s="19" t="n">
        <f aca="false">IFERROR(G55+G56+G57-G60,"")</f>
        <v>140</v>
      </c>
      <c r="H62" s="11" t="s">
        <v>336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2"/>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70"/>
  </cols>
  <sheetData>
    <row r="1" customFormat="false" ht="16.15" hidden="false" customHeight="false" outlineLevel="0" collapsed="false">
      <c r="A1" s="1" t="s">
        <v>337</v>
      </c>
    </row>
    <row r="2" customFormat="false" ht="15" hidden="false" customHeight="false" outlineLevel="0" collapsed="false">
      <c r="A2" s="5" t="s">
        <v>338</v>
      </c>
    </row>
    <row r="4" customFormat="false" ht="23.85" hidden="false" customHeight="false" outlineLevel="0" collapsed="false">
      <c r="A4" s="15" t="s">
        <v>258</v>
      </c>
      <c r="B4" s="16" t="s">
        <v>37</v>
      </c>
      <c r="C4" s="16" t="s">
        <v>38</v>
      </c>
      <c r="D4" s="16" t="s">
        <v>39</v>
      </c>
      <c r="E4" s="16" t="s">
        <v>40</v>
      </c>
      <c r="F4" s="16" t="s">
        <v>41</v>
      </c>
      <c r="G4" s="16" t="s">
        <v>42</v>
      </c>
      <c r="H4" s="16" t="s">
        <v>259</v>
      </c>
    </row>
    <row r="5" customFormat="false" ht="15" hidden="false" customHeight="false" outlineLevel="0" collapsed="false">
      <c r="A5" s="7" t="s">
        <v>339</v>
      </c>
      <c r="B5" s="8"/>
      <c r="C5" s="8"/>
      <c r="D5" s="8"/>
      <c r="E5" s="8"/>
      <c r="F5" s="8"/>
      <c r="G5" s="8"/>
      <c r="H5" s="8"/>
    </row>
    <row r="6" customFormat="false" ht="15" hidden="false" customHeight="false" outlineLevel="0" collapsed="false">
      <c r="A6" s="9" t="s">
        <v>340</v>
      </c>
      <c r="B6" s="18" t="str">
        <f aca="false">IF(RAW_DATA!B47="","",RAW_DATA!B47)</f>
        <v/>
      </c>
      <c r="C6" s="18" t="str">
        <f aca="false">IF(RAW_DATA!C47="","",RAW_DATA!C47)</f>
        <v/>
      </c>
      <c r="D6" s="18" t="str">
        <f aca="false">IF(RAW_DATA!D47="","",RAW_DATA!D47)</f>
        <v/>
      </c>
      <c r="E6" s="18" t="str">
        <f aca="false">IF(RAW_DATA!E47="","",RAW_DATA!E47)</f>
        <v/>
      </c>
      <c r="F6" s="18" t="n">
        <f aca="false">IF(RAW_DATA!F47="","",RAW_DATA!F47)</f>
        <v>6039</v>
      </c>
      <c r="G6" s="18" t="n">
        <f aca="false">IF(RAW_DATA!G47="","",RAW_DATA!G47)</f>
        <v>6213</v>
      </c>
      <c r="H6" s="11"/>
    </row>
    <row r="7" customFormat="false" ht="15" hidden="false" customHeight="false" outlineLevel="0" collapsed="false">
      <c r="A7" s="9" t="s">
        <v>70</v>
      </c>
      <c r="B7" s="18" t="str">
        <f aca="false">IF(RAW_DATA!B48="","",RAW_DATA!B48)</f>
        <v/>
      </c>
      <c r="C7" s="18" t="str">
        <f aca="false">IF(RAW_DATA!C48="","",RAW_DATA!C48)</f>
        <v/>
      </c>
      <c r="D7" s="18" t="str">
        <f aca="false">IF(RAW_DATA!D48="","",RAW_DATA!D48)</f>
        <v/>
      </c>
      <c r="E7" s="18" t="str">
        <f aca="false">IF(RAW_DATA!E48="","",RAW_DATA!E48)</f>
        <v/>
      </c>
      <c r="F7" s="18" t="n">
        <f aca="false">IF(RAW_DATA!F48="","",RAW_DATA!F48)</f>
        <v>2332</v>
      </c>
      <c r="G7" s="18" t="n">
        <f aca="false">IF(RAW_DATA!G48="","",RAW_DATA!G48)</f>
        <v>2481</v>
      </c>
      <c r="H7" s="11"/>
    </row>
    <row r="8" customFormat="false" ht="15" hidden="false" customHeight="false" outlineLevel="0" collapsed="false">
      <c r="A8" s="9" t="s">
        <v>341</v>
      </c>
      <c r="B8" s="18" t="str">
        <f aca="false">IF(RAW_DATA!B49="","",RAW_DATA!B49)</f>
        <v/>
      </c>
      <c r="C8" s="18" t="str">
        <f aca="false">IF(RAW_DATA!C49="","",RAW_DATA!C49)</f>
        <v/>
      </c>
      <c r="D8" s="18" t="str">
        <f aca="false">IF(RAW_DATA!D49="","",RAW_DATA!D49)</f>
        <v/>
      </c>
      <c r="E8" s="18" t="str">
        <f aca="false">IF(RAW_DATA!E49="","",RAW_DATA!E49)</f>
        <v/>
      </c>
      <c r="F8" s="18" t="n">
        <f aca="false">IF(RAW_DATA!F49="","",RAW_DATA!F49)</f>
        <v>-263</v>
      </c>
      <c r="G8" s="18" t="n">
        <f aca="false">IF(RAW_DATA!G49="","",RAW_DATA!G49)</f>
        <v>-228</v>
      </c>
      <c r="H8" s="11"/>
    </row>
    <row r="9" customFormat="false" ht="15" hidden="false" customHeight="false" outlineLevel="0" collapsed="false">
      <c r="A9" s="9" t="s">
        <v>342</v>
      </c>
      <c r="B9" s="18" t="str">
        <f aca="false">IF(RAW_DATA!B50="","",RAW_DATA!B50)</f>
        <v/>
      </c>
      <c r="C9" s="18" t="str">
        <f aca="false">IF(RAW_DATA!C50="","",RAW_DATA!C50)</f>
        <v/>
      </c>
      <c r="D9" s="18" t="str">
        <f aca="false">IF(RAW_DATA!D50="","",RAW_DATA!D50)</f>
        <v/>
      </c>
      <c r="E9" s="18" t="str">
        <f aca="false">IF(RAW_DATA!E50="","",RAW_DATA!E50)</f>
        <v/>
      </c>
      <c r="F9" s="18" t="n">
        <f aca="false">IF(RAW_DATA!F50="","",RAW_DATA!F50)</f>
        <v>201</v>
      </c>
      <c r="G9" s="18" t="n">
        <f aca="false">IF(RAW_DATA!G50="","",RAW_DATA!G50)</f>
        <v>68</v>
      </c>
      <c r="H9" s="11"/>
    </row>
    <row r="10" customFormat="false" ht="15" hidden="false" customHeight="false" outlineLevel="0" collapsed="false">
      <c r="A10" s="9" t="s">
        <v>56</v>
      </c>
      <c r="B10" s="18" t="str">
        <f aca="false">IF(RAW_DATA!B51="","",RAW_DATA!B51)</f>
        <v/>
      </c>
      <c r="C10" s="18" t="str">
        <f aca="false">IF(RAW_DATA!C51="","",RAW_DATA!C51)</f>
        <v/>
      </c>
      <c r="D10" s="18" t="str">
        <f aca="false">IF(RAW_DATA!D51="","",RAW_DATA!D51)</f>
        <v/>
      </c>
      <c r="E10" s="18" t="str">
        <f aca="false">IF(RAW_DATA!E51="","",RAW_DATA!E51)</f>
        <v/>
      </c>
      <c r="F10" s="18" t="n">
        <f aca="false">IF(RAW_DATA!F51="","",RAW_DATA!F51)</f>
        <v>520</v>
      </c>
      <c r="G10" s="18" t="n">
        <f aca="false">IF(RAW_DATA!G51="","",RAW_DATA!G51)</f>
        <v>503</v>
      </c>
      <c r="H10" s="11"/>
    </row>
    <row r="11" customFormat="false" ht="15" hidden="false" customHeight="false" outlineLevel="0" collapsed="false">
      <c r="A11" s="9" t="s">
        <v>153</v>
      </c>
      <c r="B11" s="18" t="str">
        <f aca="false">IF(RAW_DATA!B52="","",RAW_DATA!B52)</f>
        <v/>
      </c>
      <c r="C11" s="18" t="str">
        <f aca="false">IF(RAW_DATA!C52="","",RAW_DATA!C52)</f>
        <v/>
      </c>
      <c r="D11" s="18" t="str">
        <f aca="false">IF(RAW_DATA!D52="","",RAW_DATA!D52)</f>
        <v/>
      </c>
      <c r="E11" s="18" t="n">
        <f aca="false">IF(RAW_DATA!E52="","",RAW_DATA!E52)</f>
        <v>1148</v>
      </c>
      <c r="F11" s="18" t="n">
        <f aca="false">IF(RAW_DATA!F52="","",RAW_DATA!F52)</f>
        <v>1370</v>
      </c>
      <c r="G11" s="18" t="n">
        <f aca="false">IF(RAW_DATA!G52="","",RAW_DATA!G52)</f>
        <v>1353</v>
      </c>
      <c r="H11" s="11"/>
    </row>
    <row r="12" customFormat="false" ht="15" hidden="false" customHeight="false" outlineLevel="0" collapsed="false">
      <c r="A12" s="9" t="s">
        <v>156</v>
      </c>
      <c r="B12" s="18" t="str">
        <f aca="false">IF(RAW_DATA!B53="","",RAW_DATA!B53)</f>
        <v/>
      </c>
      <c r="C12" s="18" t="str">
        <f aca="false">IF(RAW_DATA!C53="","",RAW_DATA!C53)</f>
        <v/>
      </c>
      <c r="D12" s="18" t="str">
        <f aca="false">IF(RAW_DATA!D53="","",RAW_DATA!D53)</f>
        <v/>
      </c>
      <c r="E12" s="18" t="n">
        <f aca="false">IF(RAW_DATA!E53="","",RAW_DATA!E53)</f>
        <v>753</v>
      </c>
      <c r="F12" s="18" t="n">
        <f aca="false">IF(RAW_DATA!F53="","",RAW_DATA!F53)</f>
        <v>-188</v>
      </c>
      <c r="G12" s="18" t="n">
        <f aca="false">IF(RAW_DATA!G53="","",RAW_DATA!G53)</f>
        <v>116</v>
      </c>
      <c r="H12" s="11"/>
    </row>
    <row r="13" customFormat="false" ht="15" hidden="false" customHeight="false" outlineLevel="0" collapsed="false">
      <c r="A13" s="9" t="s">
        <v>343</v>
      </c>
      <c r="B13" s="18" t="str">
        <f aca="false">IF(RAW_DATA!B54="","",RAW_DATA!B54)</f>
        <v/>
      </c>
      <c r="C13" s="18" t="str">
        <f aca="false">IF(RAW_DATA!C54="","",RAW_DATA!C54)</f>
        <v/>
      </c>
      <c r="D13" s="18" t="str">
        <f aca="false">IF(RAW_DATA!D54="","",RAW_DATA!D54)</f>
        <v/>
      </c>
      <c r="E13" s="18" t="n">
        <f aca="false">IF(RAW_DATA!E54="","",RAW_DATA!E54)</f>
        <v>-251</v>
      </c>
      <c r="F13" s="18" t="n">
        <f aca="false">IF(RAW_DATA!F54="","",RAW_DATA!F54)</f>
        <v>-54</v>
      </c>
      <c r="G13" s="18" t="n">
        <f aca="false">IF(RAW_DATA!G54="","",RAW_DATA!G54)</f>
        <v>-74</v>
      </c>
      <c r="H13" s="11"/>
    </row>
    <row r="14" customFormat="false" ht="15" hidden="false" customHeight="false" outlineLevel="0" collapsed="false">
      <c r="A14" s="9" t="s">
        <v>344</v>
      </c>
      <c r="B14" s="18" t="str">
        <f aca="false">IF(RAW_DATA!B55="","",RAW_DATA!B55)</f>
        <v/>
      </c>
      <c r="C14" s="18" t="str">
        <f aca="false">IF(RAW_DATA!C55="","",RAW_DATA!C55)</f>
        <v/>
      </c>
      <c r="D14" s="18" t="str">
        <f aca="false">IF(RAW_DATA!D55="","",RAW_DATA!D55)</f>
        <v/>
      </c>
      <c r="E14" s="18" t="n">
        <f aca="false">IF(RAW_DATA!E55="","",RAW_DATA!E55)</f>
        <v>-171</v>
      </c>
      <c r="F14" s="18" t="n">
        <f aca="false">IF(RAW_DATA!F55="","",RAW_DATA!F55)</f>
        <v>289</v>
      </c>
      <c r="G14" s="18" t="n">
        <f aca="false">IF(RAW_DATA!G55="","",RAW_DATA!G55)</f>
        <v>-130</v>
      </c>
      <c r="H14" s="11"/>
    </row>
    <row r="15" customFormat="false" ht="15" hidden="false" customHeight="false" outlineLevel="0" collapsed="false">
      <c r="A15" s="9" t="s">
        <v>345</v>
      </c>
      <c r="B15" s="18" t="str">
        <f aca="false">IF(RAW_DATA!B56="","",RAW_DATA!B56)</f>
        <v/>
      </c>
      <c r="C15" s="18" t="str">
        <f aca="false">IF(RAW_DATA!C56="","",RAW_DATA!C56)</f>
        <v/>
      </c>
      <c r="D15" s="18" t="str">
        <f aca="false">IF(RAW_DATA!D56="","",RAW_DATA!D56)</f>
        <v/>
      </c>
      <c r="E15" s="18" t="n">
        <f aca="false">IF(RAW_DATA!E56="","",RAW_DATA!E56)</f>
        <v>-440</v>
      </c>
      <c r="F15" s="18" t="n">
        <f aca="false">IF(RAW_DATA!F56="","",RAW_DATA!F56)</f>
        <v>259</v>
      </c>
      <c r="G15" s="18" t="n">
        <f aca="false">IF(RAW_DATA!G56="","",RAW_DATA!G56)</f>
        <v>58</v>
      </c>
      <c r="H15" s="11"/>
    </row>
    <row r="16" customFormat="false" ht="15" hidden="false" customHeight="false" outlineLevel="0" collapsed="false">
      <c r="A16" s="9" t="s">
        <v>346</v>
      </c>
      <c r="B16" s="18" t="str">
        <f aca="false">IF(RAW_DATA!B57="","",RAW_DATA!B57)</f>
        <v/>
      </c>
      <c r="C16" s="18" t="str">
        <f aca="false">IF(RAW_DATA!C57="","",RAW_DATA!C57)</f>
        <v/>
      </c>
      <c r="D16" s="18" t="str">
        <f aca="false">IF(RAW_DATA!D57="","",RAW_DATA!D57)</f>
        <v/>
      </c>
      <c r="E16" s="18" t="n">
        <f aca="false">IF(RAW_DATA!E57="","",RAW_DATA!E57)</f>
        <v>192</v>
      </c>
      <c r="F16" s="18" t="n">
        <f aca="false">IF(RAW_DATA!F57="","",RAW_DATA!F57)</f>
        <v>292</v>
      </c>
      <c r="G16" s="18" t="n">
        <f aca="false">IF(RAW_DATA!G57="","",RAW_DATA!G57)</f>
        <v>255</v>
      </c>
      <c r="H16" s="11"/>
    </row>
    <row r="17" customFormat="false" ht="15" hidden="false" customHeight="false" outlineLevel="0" collapsed="false">
      <c r="A17" s="9" t="s">
        <v>166</v>
      </c>
      <c r="B17" s="18" t="str">
        <f aca="false">IF(RAW_DATA!B58="","",RAW_DATA!B58)</f>
        <v/>
      </c>
      <c r="C17" s="18" t="str">
        <f aca="false">IF(RAW_DATA!C58="","",RAW_DATA!C58)</f>
        <v/>
      </c>
      <c r="D17" s="18" t="str">
        <f aca="false">IF(RAW_DATA!D58="","",RAW_DATA!D58)</f>
        <v/>
      </c>
      <c r="E17" s="18" t="n">
        <f aca="false">IF(RAW_DATA!E58="","",RAW_DATA!E58)</f>
        <v>97</v>
      </c>
      <c r="F17" s="18" t="n">
        <f aca="false">IF(RAW_DATA!F58="","",RAW_DATA!F58)</f>
        <v>116</v>
      </c>
      <c r="G17" s="18" t="n">
        <f aca="false">IF(RAW_DATA!G58="","",RAW_DATA!G58)</f>
        <v>157</v>
      </c>
      <c r="H17" s="11"/>
    </row>
    <row r="18" customFormat="false" ht="15" hidden="false" customHeight="false" outlineLevel="0" collapsed="false">
      <c r="A18" s="9" t="s">
        <v>347</v>
      </c>
      <c r="B18" s="19" t="str">
        <f aca="false">IFERROR(B6+B7+B8+B9+B10+B11+B12+B13+B14+B15+B16+B17,"")</f>
        <v/>
      </c>
      <c r="C18" s="19" t="str">
        <f aca="false">IFERROR(C6+C7+C8+C9+C10+C11+C12+C13+C14+C15+C16+C17,"")</f>
        <v/>
      </c>
      <c r="D18" s="19" t="str">
        <f aca="false">IFERROR(D6+D7+D8+D9+D10+D11+D12+D13+D14+D15+D16+D17,"")</f>
        <v/>
      </c>
      <c r="E18" s="19" t="str">
        <f aca="false">IFERROR(E6+E7+E8+E9+E10+E11+E12+E13+E14+E15+E16+E17,"")</f>
        <v/>
      </c>
      <c r="F18" s="19" t="n">
        <f aca="false">IFERROR(F6+F7+F8+F9+F10+F11+F12+F13+F14+F15+F16+F17,"")</f>
        <v>10913</v>
      </c>
      <c r="G18" s="19" t="n">
        <f aca="false">IFERROR(G6+G7+G8+G9+G10+G11+G12+G13+G14+G15+G16+G17,"")</f>
        <v>10772</v>
      </c>
      <c r="H18" s="11" t="s">
        <v>348</v>
      </c>
    </row>
    <row r="19" customFormat="false" ht="15" hidden="false" customHeight="false" outlineLevel="0" collapsed="false">
      <c r="A19" s="22" t="s">
        <v>349</v>
      </c>
      <c r="B19" s="23" t="n">
        <f aca="false">IF(RAW_DATA!B59="","",RAW_DATA!B59)</f>
        <v>10305</v>
      </c>
      <c r="C19" s="23" t="n">
        <f aca="false">IF(RAW_DATA!C59="","",RAW_DATA!C59)</f>
        <v>10089</v>
      </c>
      <c r="D19" s="23" t="n">
        <f aca="false">IF(RAW_DATA!D59="","",RAW_DATA!D59)</f>
        <v>11561</v>
      </c>
      <c r="E19" s="23" t="n">
        <f aca="false">IF(RAW_DATA!E59="","",RAW_DATA!E59)</f>
        <v>10326</v>
      </c>
      <c r="F19" s="23" t="n">
        <f aca="false">IF(RAW_DATA!F59="","",RAW_DATA!F59)</f>
        <v>10913</v>
      </c>
      <c r="G19" s="23" t="n">
        <f aca="false">IF(RAW_DATA!G59="","",RAW_DATA!G59)</f>
        <v>10772</v>
      </c>
      <c r="H19" s="25" t="s">
        <v>350</v>
      </c>
    </row>
    <row r="20" customFormat="false" ht="15" hidden="false" customHeight="false" outlineLevel="0" collapsed="false">
      <c r="A20" s="9" t="s">
        <v>171</v>
      </c>
      <c r="B20" s="18" t="n">
        <f aca="false">IF(RAW_DATA!B60="","",RAW_DATA!B60)</f>
        <v>-2333</v>
      </c>
      <c r="C20" s="18" t="n">
        <f aca="false">IF(RAW_DATA!C60="","",RAW_DATA!C60)</f>
        <v>-2807</v>
      </c>
      <c r="D20" s="18" t="n">
        <f aca="false">IF(RAW_DATA!D60="","",RAW_DATA!D60)</f>
        <v>-2135</v>
      </c>
      <c r="E20" s="18" t="n">
        <f aca="false">IF(RAW_DATA!E60="","",RAW_DATA!E60)</f>
        <v>-1933</v>
      </c>
      <c r="F20" s="18" t="n">
        <f aca="false">IF(RAW_DATA!F60="","",RAW_DATA!F60)</f>
        <v>-2452</v>
      </c>
      <c r="G20" s="18" t="n">
        <f aca="false">IF(RAW_DATA!G60="","",RAW_DATA!G60)</f>
        <v>-2720</v>
      </c>
      <c r="H20" s="11"/>
    </row>
    <row r="21" customFormat="false" ht="15" hidden="false" customHeight="false" outlineLevel="0" collapsed="false">
      <c r="A21" s="9" t="s">
        <v>351</v>
      </c>
      <c r="B21" s="19" t="n">
        <f aca="false">IFERROR(B19+B20,"")</f>
        <v>7972</v>
      </c>
      <c r="C21" s="19" t="n">
        <f aca="false">IFERROR(C19+C20,"")</f>
        <v>7282</v>
      </c>
      <c r="D21" s="19" t="n">
        <f aca="false">IFERROR(D19+D20,"")</f>
        <v>9426</v>
      </c>
      <c r="E21" s="19" t="n">
        <f aca="false">IFERROR(E19+E20,"")</f>
        <v>8393</v>
      </c>
      <c r="F21" s="19" t="n">
        <f aca="false">IFERROR(F19+F20,"")</f>
        <v>8461</v>
      </c>
      <c r="G21" s="19" t="n">
        <f aca="false">IFERROR(G19+G20,"")</f>
        <v>8052</v>
      </c>
      <c r="H21" s="11" t="s">
        <v>352</v>
      </c>
    </row>
    <row r="22" customFormat="false" ht="15" hidden="false" customHeight="false" outlineLevel="0" collapsed="false">
      <c r="A22" s="9" t="s">
        <v>353</v>
      </c>
      <c r="B22" s="18" t="n">
        <f aca="false">IF(RAW_DATA!B61="","",RAW_DATA!B61)</f>
        <v>7972</v>
      </c>
      <c r="C22" s="18" t="n">
        <f aca="false">IF(RAW_DATA!C61="","",RAW_DATA!C61)</f>
        <v>7282</v>
      </c>
      <c r="D22" s="18" t="n">
        <f aca="false">IF(RAW_DATA!D61="","",RAW_DATA!D61)</f>
        <v>9426</v>
      </c>
      <c r="E22" s="18" t="str">
        <f aca="false">IF(RAW_DATA!E61="","",RAW_DATA!E61)</f>
        <v/>
      </c>
      <c r="F22" s="18" t="n">
        <f aca="false">IF(RAW_DATA!F61="","",RAW_DATA!F61)</f>
        <v>8461</v>
      </c>
      <c r="G22" s="18" t="n">
        <f aca="false">IF(RAW_DATA!G61="","",RAW_DATA!G61)</f>
        <v>8052</v>
      </c>
      <c r="H22" s="11" t="s">
        <v>354</v>
      </c>
    </row>
    <row r="23" customFormat="false" ht="15" hidden="false" customHeight="false" outlineLevel="0" collapsed="false">
      <c r="A23" s="9" t="s">
        <v>355</v>
      </c>
      <c r="B23" s="18" t="n">
        <f aca="false">IF(RAW_DATA!B62="","",RAW_DATA!B62)</f>
        <v>0</v>
      </c>
      <c r="C23" s="18" t="n">
        <f aca="false">IF(RAW_DATA!C62="","",RAW_DATA!C62)</f>
        <v>0</v>
      </c>
      <c r="D23" s="18" t="n">
        <f aca="false">IF(RAW_DATA!D62="","",RAW_DATA!D62)</f>
        <v>0</v>
      </c>
      <c r="E23" s="18" t="n">
        <f aca="false">IF(RAW_DATA!E62="","",RAW_DATA!E62)</f>
        <v>1033</v>
      </c>
      <c r="F23" s="18" t="n">
        <f aca="false">IF(RAW_DATA!F62="","",RAW_DATA!F62)</f>
        <v>1058</v>
      </c>
      <c r="G23" s="18" t="n">
        <f aca="false">IF(RAW_DATA!G62="","",RAW_DATA!G62)</f>
        <v>298</v>
      </c>
      <c r="H23" s="11" t="s">
        <v>356</v>
      </c>
    </row>
    <row r="24" customFormat="false" ht="15" hidden="false" customHeight="false" outlineLevel="0" collapsed="false">
      <c r="A24" s="22" t="s">
        <v>357</v>
      </c>
      <c r="B24" s="26" t="n">
        <f aca="false">IFERROR(B21+B23,"")</f>
        <v>7972</v>
      </c>
      <c r="C24" s="26" t="n">
        <f aca="false">IFERROR(C21+C23,"")</f>
        <v>7282</v>
      </c>
      <c r="D24" s="26" t="n">
        <f aca="false">IFERROR(D21+D23,"")</f>
        <v>9426</v>
      </c>
      <c r="E24" s="26" t="n">
        <f aca="false">IFERROR(E21+E23,"")</f>
        <v>9426</v>
      </c>
      <c r="F24" s="26" t="n">
        <f aca="false">IFERROR(F21+F23,"")</f>
        <v>9519</v>
      </c>
      <c r="G24" s="26" t="n">
        <f aca="false">IFERROR(G21+G23,"")</f>
        <v>8350</v>
      </c>
      <c r="H24" s="25"/>
    </row>
    <row r="26" customFormat="false" ht="15" hidden="false" customHeight="false" outlineLevel="0" collapsed="false">
      <c r="A26" s="7" t="s">
        <v>358</v>
      </c>
      <c r="B26" s="8"/>
      <c r="C26" s="8"/>
      <c r="D26" s="8"/>
      <c r="E26" s="8"/>
      <c r="F26" s="8"/>
      <c r="G26" s="8"/>
      <c r="H26" s="8"/>
    </row>
    <row r="27" customFormat="false" ht="15" hidden="false" customHeight="false" outlineLevel="0" collapsed="false">
      <c r="A27" s="9" t="s">
        <v>180</v>
      </c>
      <c r="B27" s="18" t="n">
        <f aca="false">IF(RAW_DATA!B64="","",RAW_DATA!B64)</f>
        <v>-1239</v>
      </c>
      <c r="C27" s="18" t="n">
        <f aca="false">IF(RAW_DATA!C64="","",RAW_DATA!C64)</f>
        <v>-1627</v>
      </c>
      <c r="D27" s="18" t="n">
        <f aca="false">IF(RAW_DATA!D64="","",RAW_DATA!D64)</f>
        <v>-1703</v>
      </c>
      <c r="E27" s="18" t="n">
        <f aca="false">IF(RAW_DATA!E64="","",RAW_DATA!E64)</f>
        <v>-1420</v>
      </c>
      <c r="F27" s="18" t="n">
        <f aca="false">IF(RAW_DATA!F64="","",RAW_DATA!F64)</f>
        <v>-1599</v>
      </c>
      <c r="G27" s="18" t="n">
        <f aca="false">IF(RAW_DATA!G64="","",RAW_DATA!G64)</f>
        <v>-1465</v>
      </c>
      <c r="H27" s="11" t="s">
        <v>359</v>
      </c>
    </row>
    <row r="28" customFormat="false" ht="15" hidden="false" customHeight="false" outlineLevel="0" collapsed="false">
      <c r="A28" s="9" t="s">
        <v>360</v>
      </c>
      <c r="B28" s="18" t="str">
        <f aca="false">IF(RAW_DATA!B71="","",RAW_DATA!B71)</f>
        <v/>
      </c>
      <c r="C28" s="18" t="str">
        <f aca="false">IF(RAW_DATA!C71="","",RAW_DATA!C71)</f>
        <v/>
      </c>
      <c r="D28" s="18" t="str">
        <f aca="false">IF(RAW_DATA!D71="","",RAW_DATA!D71)</f>
        <v/>
      </c>
      <c r="E28" s="18" t="str">
        <f aca="false">IF(RAW_DATA!E71="","",RAW_DATA!E71)</f>
        <v/>
      </c>
      <c r="F28" s="18" t="n">
        <f aca="false">IF(RAW_DATA!F71="","",RAW_DATA!F71)</f>
        <v>-734</v>
      </c>
      <c r="G28" s="18" t="n">
        <f aca="false">IF(RAW_DATA!G71="","",RAW_DATA!G71)</f>
        <v>-1674</v>
      </c>
      <c r="H28" s="11"/>
    </row>
    <row r="29" customFormat="false" ht="15" hidden="false" customHeight="false" outlineLevel="0" collapsed="false">
      <c r="A29" s="9" t="s">
        <v>361</v>
      </c>
      <c r="B29" s="18" t="str">
        <f aca="false">IF(RAW_DATA!B72="","",RAW_DATA!B72)</f>
        <v/>
      </c>
      <c r="C29" s="18" t="str">
        <f aca="false">IF(RAW_DATA!C72="","",RAW_DATA!C72)</f>
        <v/>
      </c>
      <c r="D29" s="18" t="str">
        <f aca="false">IF(RAW_DATA!D72="","",RAW_DATA!D72)</f>
        <v/>
      </c>
      <c r="E29" s="18" t="str">
        <f aca="false">IF(RAW_DATA!E72="","",RAW_DATA!E72)</f>
        <v/>
      </c>
      <c r="F29" s="18" t="n">
        <f aca="false">IF(RAW_DATA!F72="","",RAW_DATA!F72)</f>
        <v>910</v>
      </c>
      <c r="G29" s="18" t="n">
        <f aca="false">IF(RAW_DATA!G72="","",RAW_DATA!G72)</f>
        <v>107</v>
      </c>
      <c r="H29" s="11"/>
    </row>
    <row r="30" customFormat="false" ht="15" hidden="false" customHeight="false" outlineLevel="0" collapsed="false">
      <c r="A30" s="9" t="s">
        <v>362</v>
      </c>
      <c r="B30" s="18" t="str">
        <f aca="false">IF(RAW_DATA!B76="","",RAW_DATA!B76)</f>
        <v/>
      </c>
      <c r="C30" s="18" t="str">
        <f aca="false">IF(RAW_DATA!C76="","",RAW_DATA!C76)</f>
        <v/>
      </c>
      <c r="D30" s="18" t="str">
        <f aca="false">IF(RAW_DATA!D76="","",RAW_DATA!D76)</f>
        <v/>
      </c>
      <c r="E30" s="18" t="str">
        <f aca="false">IF(RAW_DATA!E76="","",RAW_DATA!E76)</f>
        <v/>
      </c>
      <c r="F30" s="18" t="n">
        <f aca="false">IF(RAW_DATA!F76="","",RAW_DATA!F76)</f>
        <v>476</v>
      </c>
      <c r="G30" s="18" t="n">
        <f aca="false">IF(RAW_DATA!G76="","",RAW_DATA!G76)</f>
        <v>-85</v>
      </c>
      <c r="H30" s="11"/>
    </row>
    <row r="31" customFormat="false" ht="15" hidden="false" customHeight="false" outlineLevel="0" collapsed="false">
      <c r="A31" s="9" t="s">
        <v>207</v>
      </c>
      <c r="B31" s="18" t="n">
        <f aca="false">IF(RAW_DATA!B77="","",RAW_DATA!B77)</f>
        <v>148</v>
      </c>
      <c r="C31" s="18" t="n">
        <f aca="false">IF(RAW_DATA!C77="","",RAW_DATA!C77)</f>
        <v>287</v>
      </c>
      <c r="D31" s="18" t="n">
        <f aca="false">IF(RAW_DATA!D77="","",RAW_DATA!D77)</f>
        <v>267</v>
      </c>
      <c r="E31" s="18" t="str">
        <f aca="false">IF(RAW_DATA!E77="","",RAW_DATA!E77)</f>
        <v/>
      </c>
      <c r="F31" s="18" t="n">
        <f aca="false">IF(RAW_DATA!F77="","",RAW_DATA!F77)</f>
        <v>370</v>
      </c>
      <c r="G31" s="18" t="n">
        <f aca="false">IF(RAW_DATA!G77="","",RAW_DATA!G77)</f>
        <v>352</v>
      </c>
      <c r="H31" s="11"/>
    </row>
    <row r="32" customFormat="false" ht="22.35" hidden="false" customHeight="false" outlineLevel="0" collapsed="false">
      <c r="A32" s="9" t="s">
        <v>363</v>
      </c>
      <c r="B32" s="19" t="str">
        <f aca="false">IF(COUNT(RAW_DATA!B73,RAW_DATA!B74,RAW_DATA!B75)&lt;3,"",RAW_DATA!B73+RAW_DATA!B74+RAW_DATA!B75)</f>
        <v/>
      </c>
      <c r="C32" s="19" t="str">
        <f aca="false">IF(COUNT(RAW_DATA!C73,RAW_DATA!C74,RAW_DATA!C75)&lt;3,"",RAW_DATA!C73+RAW_DATA!C74+RAW_DATA!C75)</f>
        <v/>
      </c>
      <c r="D32" s="19" t="str">
        <f aca="false">IF(COUNT(RAW_DATA!D73,RAW_DATA!D74,RAW_DATA!D75)&lt;3,"",RAW_DATA!D73+RAW_DATA!D74+RAW_DATA!D75)</f>
        <v/>
      </c>
      <c r="E32" s="19" t="str">
        <f aca="false">IF(COUNT(RAW_DATA!E73,RAW_DATA!E74,RAW_DATA!E75)&lt;3,"",RAW_DATA!E73+RAW_DATA!E74+RAW_DATA!E75)</f>
        <v/>
      </c>
      <c r="F32" s="19" t="n">
        <f aca="false">IF(COUNT(RAW_DATA!F73,RAW_DATA!F74,RAW_DATA!F75)&lt;3,"",RAW_DATA!F73+RAW_DATA!F74+RAW_DATA!F75)</f>
        <v>154</v>
      </c>
      <c r="G32" s="19" t="n">
        <f aca="false">IF(COUNT(RAW_DATA!G73,RAW_DATA!G74,RAW_DATA!G75)&lt;3,"",RAW_DATA!G73+RAW_DATA!G74+RAW_DATA!G75)</f>
        <v>371</v>
      </c>
      <c r="H32" s="11" t="s">
        <v>364</v>
      </c>
    </row>
    <row r="33" customFormat="false" ht="15" hidden="false" customHeight="false" outlineLevel="0" collapsed="false">
      <c r="A33" s="9" t="s">
        <v>365</v>
      </c>
      <c r="B33" s="19" t="str">
        <f aca="false">IFERROR(B27+B28+B29+B30+B31+B32,"")</f>
        <v/>
      </c>
      <c r="C33" s="19" t="str">
        <f aca="false">IFERROR(C27+C28+C29+C30+C31+C32,"")</f>
        <v/>
      </c>
      <c r="D33" s="19" t="str">
        <f aca="false">IFERROR(D27+D28+D29+D30+D31+D32,"")</f>
        <v/>
      </c>
      <c r="E33" s="19" t="str">
        <f aca="false">IFERROR(E27+E28+E29+E30+E31+E32,"")</f>
        <v/>
      </c>
      <c r="F33" s="19" t="n">
        <f aca="false">IFERROR(F27+F28+F29+F30+F31+F32,"")</f>
        <v>-423</v>
      </c>
      <c r="G33" s="19" t="n">
        <f aca="false">IFERROR(G27+G28+G29+G30+G31+G32,"")</f>
        <v>-2394</v>
      </c>
      <c r="H33" s="11" t="s">
        <v>366</v>
      </c>
    </row>
    <row r="34" customFormat="false" ht="15" hidden="false" customHeight="false" outlineLevel="0" collapsed="false">
      <c r="A34" s="14" t="s">
        <v>367</v>
      </c>
      <c r="B34" s="17" t="n">
        <f aca="false">IF(RAW_DATA!B78="","",RAW_DATA!B78)</f>
        <v>-3246</v>
      </c>
      <c r="C34" s="17" t="n">
        <f aca="false">IF(RAW_DATA!C78="","",RAW_DATA!C78)</f>
        <v>2453</v>
      </c>
      <c r="D34" s="17" t="n">
        <f aca="false">IF(RAW_DATA!D78="","",RAW_DATA!D78)</f>
        <v>-2294</v>
      </c>
      <c r="E34" s="17" t="n">
        <f aca="false">IF(RAW_DATA!E78="","",RAW_DATA!E78)</f>
        <v>-1411</v>
      </c>
      <c r="F34" s="17" t="n">
        <f aca="false">IF(RAW_DATA!F78="","",RAW_DATA!F78)</f>
        <v>-423</v>
      </c>
      <c r="G34" s="17" t="n">
        <f aca="false">IF(RAW_DATA!G78="","",RAW_DATA!G78)</f>
        <v>-2394</v>
      </c>
      <c r="H34" s="11"/>
    </row>
    <row r="35" customFormat="false" ht="15" hidden="false" customHeight="false" outlineLevel="0" collapsed="false">
      <c r="A35" s="9" t="s">
        <v>368</v>
      </c>
      <c r="B35" s="18" t="n">
        <f aca="false">IF(RAW_DATA!B79="","",RAW_DATA!B79)</f>
        <v>0</v>
      </c>
      <c r="C35" s="18" t="n">
        <f aca="false">IF(RAW_DATA!C79="","",RAW_DATA!C79)</f>
        <v>0</v>
      </c>
      <c r="D35" s="18" t="n">
        <f aca="false">IF(RAW_DATA!D79="","",RAW_DATA!D79)</f>
        <v>0</v>
      </c>
      <c r="E35" s="18" t="n">
        <f aca="false">IF(RAW_DATA!E79="","",RAW_DATA!E79)</f>
        <v>-883</v>
      </c>
      <c r="F35" s="18" t="n">
        <f aca="false">IF(RAW_DATA!F79="","",RAW_DATA!F79)</f>
        <v>-202</v>
      </c>
      <c r="G35" s="18" t="n">
        <f aca="false">IF(RAW_DATA!G79="","",RAW_DATA!G79)</f>
        <v>-724</v>
      </c>
      <c r="H35" s="11"/>
    </row>
    <row r="36" customFormat="false" ht="15" hidden="false" customHeight="false" outlineLevel="0" collapsed="false">
      <c r="A36" s="22" t="s">
        <v>369</v>
      </c>
      <c r="B36" s="23" t="n">
        <f aca="false">IF(RAW_DATA!B80="","",RAW_DATA!B80)</f>
        <v>-3246</v>
      </c>
      <c r="C36" s="23" t="n">
        <f aca="false">IF(RAW_DATA!C80="","",RAW_DATA!C80)</f>
        <v>2453</v>
      </c>
      <c r="D36" s="23" t="n">
        <f aca="false">IF(RAW_DATA!D80="","",RAW_DATA!D80)</f>
        <v>-2294</v>
      </c>
      <c r="E36" s="23" t="n">
        <f aca="false">IF(RAW_DATA!E80="","",RAW_DATA!E80)</f>
        <v>-2294</v>
      </c>
      <c r="F36" s="23" t="n">
        <f aca="false">IF(RAW_DATA!F80="","",RAW_DATA!F80)</f>
        <v>-625</v>
      </c>
      <c r="G36" s="23" t="n">
        <f aca="false">IF(RAW_DATA!G80="","",RAW_DATA!G80)</f>
        <v>-3118</v>
      </c>
      <c r="H36" s="25" t="s">
        <v>370</v>
      </c>
    </row>
    <row r="38" customFormat="false" ht="15" hidden="false" customHeight="false" outlineLevel="0" collapsed="false">
      <c r="A38" s="7" t="s">
        <v>371</v>
      </c>
      <c r="B38" s="8"/>
      <c r="C38" s="8"/>
      <c r="D38" s="8"/>
      <c r="E38" s="8"/>
      <c r="F38" s="8"/>
      <c r="G38" s="8"/>
      <c r="H38" s="8"/>
    </row>
    <row r="39" customFormat="false" ht="15" hidden="false" customHeight="false" outlineLevel="0" collapsed="false">
      <c r="A39" s="9" t="s">
        <v>372</v>
      </c>
      <c r="B39" s="18" t="n">
        <f aca="false">IF(RAW_DATA!B82="","",RAW_DATA!B82)</f>
        <v>-4483</v>
      </c>
      <c r="C39" s="18" t="n">
        <f aca="false">IF(RAW_DATA!C82="","",RAW_DATA!C82)</f>
        <v>-4329</v>
      </c>
      <c r="D39" s="18" t="n">
        <f aca="false">IF(RAW_DATA!D82="","",RAW_DATA!D82)</f>
        <v>-4363</v>
      </c>
      <c r="E39" s="18" t="n">
        <f aca="false">IF(RAW_DATA!E82="","",RAW_DATA!E82)</f>
        <v>-4363</v>
      </c>
      <c r="F39" s="18" t="n">
        <f aca="false">IF(RAW_DATA!F82="","",RAW_DATA!F82)</f>
        <v>-4319</v>
      </c>
      <c r="G39" s="18" t="n">
        <f aca="false">IF(RAW_DATA!G82="","",RAW_DATA!G82)</f>
        <v>-4453</v>
      </c>
      <c r="H39" s="11"/>
    </row>
    <row r="40" customFormat="false" ht="15" hidden="false" customHeight="false" outlineLevel="0" collapsed="false">
      <c r="A40" s="9" t="s">
        <v>222</v>
      </c>
      <c r="B40" s="18" t="n">
        <f aca="false">IF(RAW_DATA!B83="","",RAW_DATA!B83)</f>
        <v>-488</v>
      </c>
      <c r="C40" s="18" t="n">
        <f aca="false">IF(RAW_DATA!C83="","",RAW_DATA!C83)</f>
        <v>-744</v>
      </c>
      <c r="D40" s="18" t="n">
        <f aca="false">IF(RAW_DATA!D83="","",RAW_DATA!D83)</f>
        <v>-899</v>
      </c>
      <c r="E40" s="18" t="n">
        <f aca="false">IF(RAW_DATA!E83="","",RAW_DATA!E83)</f>
        <v>-751</v>
      </c>
      <c r="F40" s="18" t="n">
        <f aca="false">IF(RAW_DATA!F83="","",RAW_DATA!F83)</f>
        <v>-929</v>
      </c>
      <c r="G40" s="18" t="n">
        <f aca="false">IF(RAW_DATA!G83="","",RAW_DATA!G83)</f>
        <v>-1018</v>
      </c>
      <c r="H40" s="11"/>
    </row>
    <row r="41" customFormat="false" ht="15" hidden="false" customHeight="false" outlineLevel="0" collapsed="false">
      <c r="A41" s="9" t="s">
        <v>373</v>
      </c>
      <c r="B41" s="18" t="str">
        <f aca="false">IF(RAW_DATA!B84="","",RAW_DATA!B84)</f>
        <v/>
      </c>
      <c r="C41" s="18" t="str">
        <f aca="false">IF(RAW_DATA!C84="","",RAW_DATA!C84)</f>
        <v/>
      </c>
      <c r="D41" s="18" t="str">
        <f aca="false">IF(RAW_DATA!D84="","",RAW_DATA!D84)</f>
        <v/>
      </c>
      <c r="E41" s="18" t="str">
        <f aca="false">IF(RAW_DATA!E84="","",RAW_DATA!E84)</f>
        <v/>
      </c>
      <c r="F41" s="18" t="n">
        <f aca="false">IF(RAW_DATA!F84="","",RAW_DATA!F84)</f>
        <v>575</v>
      </c>
      <c r="G41" s="18" t="n">
        <f aca="false">IF(RAW_DATA!G84="","",RAW_DATA!G84)</f>
        <v>-2228</v>
      </c>
      <c r="H41" s="11"/>
    </row>
    <row r="42" customFormat="false" ht="15" hidden="false" customHeight="false" outlineLevel="0" collapsed="false">
      <c r="A42" s="9" t="s">
        <v>227</v>
      </c>
      <c r="B42" s="18" t="str">
        <f aca="false">IF(RAW_DATA!B85="","",RAW_DATA!B85)</f>
        <v/>
      </c>
      <c r="C42" s="18" t="str">
        <f aca="false">IF(RAW_DATA!C85="","",RAW_DATA!C85)</f>
        <v/>
      </c>
      <c r="D42" s="18" t="str">
        <f aca="false">IF(RAW_DATA!D85="","",RAW_DATA!D85)</f>
        <v/>
      </c>
      <c r="E42" s="18" t="str">
        <f aca="false">IF(RAW_DATA!E85="","",RAW_DATA!E85)</f>
        <v/>
      </c>
      <c r="F42" s="18" t="n">
        <f aca="false">IF(RAW_DATA!F85="","",RAW_DATA!F85)</f>
        <v>4234</v>
      </c>
      <c r="G42" s="18" t="n">
        <f aca="false">IF(RAW_DATA!G85="","",RAW_DATA!G85)</f>
        <v>4278</v>
      </c>
      <c r="H42" s="11"/>
    </row>
    <row r="43" customFormat="false" ht="15" hidden="false" customHeight="false" outlineLevel="0" collapsed="false">
      <c r="A43" s="9" t="s">
        <v>229</v>
      </c>
      <c r="B43" s="18" t="str">
        <f aca="false">IF(RAW_DATA!B86="","",RAW_DATA!B86)</f>
        <v/>
      </c>
      <c r="C43" s="18" t="str">
        <f aca="false">IF(RAW_DATA!C86="","",RAW_DATA!C86)</f>
        <v/>
      </c>
      <c r="D43" s="18" t="str">
        <f aca="false">IF(RAW_DATA!D86="","",RAW_DATA!D86)</f>
        <v/>
      </c>
      <c r="E43" s="18" t="str">
        <f aca="false">IF(RAW_DATA!E86="","",RAW_DATA!E86)</f>
        <v/>
      </c>
      <c r="F43" s="18" t="n">
        <f aca="false">IF(RAW_DATA!F86="","",RAW_DATA!F86)</f>
        <v>-3846</v>
      </c>
      <c r="G43" s="18" t="n">
        <f aca="false">IF(RAW_DATA!G86="","",RAW_DATA!G86)</f>
        <v>-3547</v>
      </c>
      <c r="H43" s="11"/>
    </row>
    <row r="44" customFormat="false" ht="15" hidden="false" customHeight="false" outlineLevel="0" collapsed="false">
      <c r="A44" s="9" t="s">
        <v>374</v>
      </c>
      <c r="B44" s="18" t="str">
        <f aca="false">IF(RAW_DATA!B87="","",RAW_DATA!B87)</f>
        <v/>
      </c>
      <c r="C44" s="18" t="str">
        <f aca="false">IF(RAW_DATA!C87="","",RAW_DATA!C87)</f>
        <v/>
      </c>
      <c r="D44" s="18" t="str">
        <f aca="false">IF(RAW_DATA!D87="","",RAW_DATA!D87)</f>
        <v/>
      </c>
      <c r="E44" s="18" t="str">
        <f aca="false">IF(RAW_DATA!E87="","",RAW_DATA!E87)</f>
        <v/>
      </c>
      <c r="F44" s="18" t="n">
        <f aca="false">IF(RAW_DATA!F87="","",RAW_DATA!F87)</f>
        <v>-342</v>
      </c>
      <c r="G44" s="18" t="n">
        <f aca="false">IF(RAW_DATA!G87="","",RAW_DATA!G87)</f>
        <v>-301</v>
      </c>
      <c r="H44" s="11"/>
    </row>
    <row r="45" customFormat="false" ht="15" hidden="false" customHeight="false" outlineLevel="0" collapsed="false">
      <c r="A45" s="9" t="s">
        <v>375</v>
      </c>
      <c r="B45" s="18" t="n">
        <f aca="false">IF(RAW_DATA!B88="","",RAW_DATA!B88)</f>
        <v>-3018</v>
      </c>
      <c r="C45" s="18" t="n">
        <f aca="false">IF(RAW_DATA!C88="","",RAW_DATA!C88)</f>
        <v>-1509</v>
      </c>
      <c r="D45" s="18" t="n">
        <f aca="false">IF(RAW_DATA!D88="","",RAW_DATA!D88)</f>
        <v>-1507</v>
      </c>
      <c r="E45" s="18" t="str">
        <f aca="false">IF(RAW_DATA!E88="","",RAW_DATA!E88)</f>
        <v/>
      </c>
      <c r="F45" s="18" t="n">
        <f aca="false">IF(RAW_DATA!F88="","",RAW_DATA!F88)</f>
        <v>-1508</v>
      </c>
      <c r="G45" s="18" t="n">
        <f aca="false">IF(RAW_DATA!G88="","",RAW_DATA!G88)</f>
        <v>-1510</v>
      </c>
      <c r="H45" s="11"/>
    </row>
    <row r="46" customFormat="false" ht="15" hidden="false" customHeight="false" outlineLevel="0" collapsed="false">
      <c r="A46" s="9" t="s">
        <v>236</v>
      </c>
      <c r="B46" s="18" t="str">
        <f aca="false">IF(RAW_DATA!B89="","",RAW_DATA!B89)</f>
        <v/>
      </c>
      <c r="C46" s="18" t="str">
        <f aca="false">IF(RAW_DATA!C89="","",RAW_DATA!C89)</f>
        <v/>
      </c>
      <c r="D46" s="18" t="str">
        <f aca="false">IF(RAW_DATA!D89="","",RAW_DATA!D89)</f>
        <v/>
      </c>
      <c r="E46" s="18" t="str">
        <f aca="false">IF(RAW_DATA!E89="","",RAW_DATA!E89)</f>
        <v/>
      </c>
      <c r="F46" s="18" t="n">
        <f aca="false">IF(RAW_DATA!F89="","",RAW_DATA!F89)</f>
        <v>-694</v>
      </c>
      <c r="G46" s="18" t="n">
        <f aca="false">IF(RAW_DATA!G89="","",RAW_DATA!G89)</f>
        <v>-1105</v>
      </c>
      <c r="H46" s="11"/>
    </row>
    <row r="47" customFormat="false" ht="15" hidden="false" customHeight="false" outlineLevel="0" collapsed="false">
      <c r="A47" s="9" t="s">
        <v>376</v>
      </c>
      <c r="B47" s="19" t="str">
        <f aca="false">IFERROR(B39+B40+B41+B42+B43+B44+B45+B46,"")</f>
        <v/>
      </c>
      <c r="C47" s="19" t="str">
        <f aca="false">IFERROR(C39+C40+C41+C42+C43+C44+C45+C46,"")</f>
        <v/>
      </c>
      <c r="D47" s="19" t="str">
        <f aca="false">IFERROR(D39+D40+D41+D42+D43+D44+D45+D46,"")</f>
        <v/>
      </c>
      <c r="E47" s="19" t="str">
        <f aca="false">IFERROR(E39+E40+E41+E42+E43+E44+E45+E46,"")</f>
        <v/>
      </c>
      <c r="F47" s="19" t="n">
        <f aca="false">IFERROR(F39+F40+F41+F42+F43+F44+F45+F46,"")</f>
        <v>-6829</v>
      </c>
      <c r="G47" s="19" t="n">
        <f aca="false">IFERROR(G39+G40+G41+G42+G43+G44+G45+G46,"")</f>
        <v>-9884</v>
      </c>
      <c r="H47" s="11" t="s">
        <v>377</v>
      </c>
    </row>
    <row r="48" customFormat="false" ht="15" hidden="false" customHeight="false" outlineLevel="0" collapsed="false">
      <c r="A48" s="14" t="s">
        <v>378</v>
      </c>
      <c r="B48" s="17" t="n">
        <f aca="false">IF(RAW_DATA!B90="","",RAW_DATA!B90)</f>
        <v>-7099</v>
      </c>
      <c r="C48" s="17" t="n">
        <f aca="false">IF(RAW_DATA!C90="","",RAW_DATA!C90)</f>
        <v>-8890</v>
      </c>
      <c r="D48" s="17" t="n">
        <f aca="false">IF(RAW_DATA!D90="","",RAW_DATA!D90)</f>
        <v>-7193</v>
      </c>
      <c r="E48" s="17" t="n">
        <f aca="false">IF(RAW_DATA!E90="","",RAW_DATA!E90)</f>
        <v>-7084</v>
      </c>
      <c r="F48" s="17" t="n">
        <f aca="false">IF(RAW_DATA!F90="","",RAW_DATA!F90)</f>
        <v>-6829</v>
      </c>
      <c r="G48" s="17" t="n">
        <f aca="false">IF(RAW_DATA!G90="","",RAW_DATA!G90)</f>
        <v>-9884</v>
      </c>
      <c r="H48" s="11"/>
    </row>
    <row r="49" customFormat="false" ht="15" hidden="false" customHeight="false" outlineLevel="0" collapsed="false">
      <c r="A49" s="9" t="s">
        <v>379</v>
      </c>
      <c r="B49" s="18" t="n">
        <f aca="false">IF(RAW_DATA!B91="","",RAW_DATA!B91)</f>
        <v>0</v>
      </c>
      <c r="C49" s="18" t="n">
        <f aca="false">IF(RAW_DATA!C91="","",RAW_DATA!C91)</f>
        <v>0</v>
      </c>
      <c r="D49" s="18" t="n">
        <f aca="false">IF(RAW_DATA!D91="","",RAW_DATA!D91)</f>
        <v>0</v>
      </c>
      <c r="E49" s="18" t="n">
        <f aca="false">IF(RAW_DATA!E91="","",RAW_DATA!E91)</f>
        <v>-109</v>
      </c>
      <c r="F49" s="18" t="n">
        <f aca="false">IF(RAW_DATA!F91="","",RAW_DATA!F91)</f>
        <v>-112</v>
      </c>
      <c r="G49" s="18" t="n">
        <f aca="false">IF(RAW_DATA!G91="","",RAW_DATA!G91)</f>
        <v>3070</v>
      </c>
      <c r="H49" s="11"/>
    </row>
    <row r="50" customFormat="false" ht="22.35" hidden="false" customHeight="false" outlineLevel="0" collapsed="false">
      <c r="A50" s="22" t="s">
        <v>380</v>
      </c>
      <c r="B50" s="23" t="n">
        <f aca="false">IF(RAW_DATA!B92="","",RAW_DATA!B92)</f>
        <v>-7099</v>
      </c>
      <c r="C50" s="23" t="n">
        <f aca="false">IF(RAW_DATA!C92="","",RAW_DATA!C92)</f>
        <v>-8890</v>
      </c>
      <c r="D50" s="23" t="n">
        <f aca="false">IF(RAW_DATA!D92="","",RAW_DATA!D92)</f>
        <v>-7193</v>
      </c>
      <c r="E50" s="23" t="n">
        <f aca="false">IF(RAW_DATA!E92="","",RAW_DATA!E92)</f>
        <v>-7193</v>
      </c>
      <c r="F50" s="23" t="n">
        <f aca="false">IF(RAW_DATA!F92="","",RAW_DATA!F92)</f>
        <v>-6941</v>
      </c>
      <c r="G50" s="23" t="n">
        <f aca="false">IF(RAW_DATA!G92="","",RAW_DATA!G92)</f>
        <v>-6814</v>
      </c>
      <c r="H50" s="25" t="s">
        <v>381</v>
      </c>
    </row>
    <row r="52" customFormat="false" ht="15" hidden="false" customHeight="false" outlineLevel="0" collapsed="false">
      <c r="A52" s="7" t="s">
        <v>382</v>
      </c>
      <c r="B52" s="8"/>
      <c r="C52" s="8"/>
      <c r="D52" s="8"/>
      <c r="E52" s="8"/>
      <c r="F52" s="8"/>
      <c r="G52" s="8"/>
      <c r="H52" s="8"/>
    </row>
    <row r="53" customFormat="false" ht="15" hidden="false" customHeight="false" outlineLevel="0" collapsed="false">
      <c r="A53" s="9" t="s">
        <v>383</v>
      </c>
      <c r="B53" s="19" t="n">
        <f aca="false">B19</f>
        <v>10305</v>
      </c>
      <c r="C53" s="19" t="n">
        <f aca="false">C19</f>
        <v>10089</v>
      </c>
      <c r="D53" s="19" t="n">
        <f aca="false">D19</f>
        <v>11561</v>
      </c>
      <c r="E53" s="19" t="n">
        <f aca="false">E19</f>
        <v>10326</v>
      </c>
      <c r="F53" s="19" t="n">
        <f aca="false">F19</f>
        <v>10913</v>
      </c>
      <c r="G53" s="19" t="n">
        <f aca="false">G19</f>
        <v>10772</v>
      </c>
      <c r="H53" s="11"/>
    </row>
    <row r="54" customFormat="false" ht="15" hidden="false" customHeight="false" outlineLevel="0" collapsed="false">
      <c r="A54" s="9" t="s">
        <v>384</v>
      </c>
      <c r="B54" s="19" t="n">
        <f aca="false">B20</f>
        <v>-2333</v>
      </c>
      <c r="C54" s="19" t="n">
        <f aca="false">C20</f>
        <v>-2807</v>
      </c>
      <c r="D54" s="19" t="n">
        <f aca="false">D20</f>
        <v>-2135</v>
      </c>
      <c r="E54" s="19" t="n">
        <f aca="false">E20</f>
        <v>-1933</v>
      </c>
      <c r="F54" s="19" t="n">
        <f aca="false">F20</f>
        <v>-2452</v>
      </c>
      <c r="G54" s="19" t="n">
        <f aca="false">G20</f>
        <v>-2720</v>
      </c>
      <c r="H54" s="11"/>
    </row>
    <row r="55" customFormat="false" ht="15" hidden="false" customHeight="false" outlineLevel="0" collapsed="false">
      <c r="A55" s="9" t="s">
        <v>385</v>
      </c>
      <c r="B55" s="19" t="n">
        <f aca="false">B27</f>
        <v>-1239</v>
      </c>
      <c r="C55" s="19" t="n">
        <f aca="false">C27</f>
        <v>-1627</v>
      </c>
      <c r="D55" s="19" t="n">
        <f aca="false">D27</f>
        <v>-1703</v>
      </c>
      <c r="E55" s="19" t="n">
        <f aca="false">E27</f>
        <v>-1420</v>
      </c>
      <c r="F55" s="19" t="n">
        <f aca="false">F27</f>
        <v>-1599</v>
      </c>
      <c r="G55" s="19" t="n">
        <f aca="false">G27</f>
        <v>-1465</v>
      </c>
      <c r="H55" s="11"/>
    </row>
    <row r="56" customFormat="false" ht="15" hidden="false" customHeight="false" outlineLevel="0" collapsed="false">
      <c r="A56" s="9" t="s">
        <v>386</v>
      </c>
      <c r="B56" s="18" t="n">
        <f aca="false">IF(RAW_DATA!B65="","",RAW_DATA!B65)</f>
        <v>-340</v>
      </c>
      <c r="C56" s="18" t="n">
        <f aca="false">IF(RAW_DATA!C65="","",RAW_DATA!C65)</f>
        <v>-457</v>
      </c>
      <c r="D56" s="18" t="n">
        <f aca="false">IF(RAW_DATA!D65="","",RAW_DATA!D65)</f>
        <v>-632</v>
      </c>
      <c r="E56" s="18" t="n">
        <f aca="false">IF(RAW_DATA!E65="","",RAW_DATA!E65)</f>
        <v>-528</v>
      </c>
      <c r="F56" s="18" t="n">
        <f aca="false">IF(RAW_DATA!F65="","",RAW_DATA!F65)</f>
        <v>-559</v>
      </c>
      <c r="G56" s="18" t="n">
        <f aca="false">IF(RAW_DATA!G65="","",RAW_DATA!G65)</f>
        <v>-666</v>
      </c>
      <c r="H56" s="11"/>
    </row>
    <row r="57" customFormat="false" ht="15" hidden="false" customHeight="false" outlineLevel="0" collapsed="false">
      <c r="A57" s="22" t="s">
        <v>387</v>
      </c>
      <c r="B57" s="26" t="n">
        <f aca="false">IFERROR(B53+B54+B55+B56,"")</f>
        <v>6393</v>
      </c>
      <c r="C57" s="26" t="n">
        <f aca="false">IFERROR(C53+C54+C55+C56,"")</f>
        <v>5198</v>
      </c>
      <c r="D57" s="26" t="n">
        <f aca="false">IFERROR(D53+D54+D55+D56,"")</f>
        <v>7091</v>
      </c>
      <c r="E57" s="26" t="n">
        <f aca="false">IFERROR(E53+E54+E55+E56,"")</f>
        <v>6445</v>
      </c>
      <c r="F57" s="26" t="n">
        <f aca="false">IFERROR(F53+F54+F55+F56,"")</f>
        <v>6303</v>
      </c>
      <c r="G57" s="26" t="n">
        <f aca="false">IFERROR(G53+G54+G55+G56,"")</f>
        <v>5921</v>
      </c>
      <c r="H57" s="25"/>
    </row>
    <row r="58" customFormat="false" ht="15" hidden="false" customHeight="false" outlineLevel="0" collapsed="false">
      <c r="A58" s="14" t="s">
        <v>388</v>
      </c>
      <c r="B58" s="17" t="n">
        <f aca="false">IF(RAW_DATA!B66="","",RAW_DATA!B66)</f>
        <v>6393</v>
      </c>
      <c r="C58" s="17" t="n">
        <f aca="false">IF(RAW_DATA!C66="","",RAW_DATA!C66)</f>
        <v>5198</v>
      </c>
      <c r="D58" s="17" t="n">
        <f aca="false">IF(RAW_DATA!D66="","",RAW_DATA!D66)</f>
        <v>7091</v>
      </c>
      <c r="E58" s="17" t="n">
        <f aca="false">IF(RAW_DATA!E66="","",RAW_DATA!E66)</f>
        <v>6445</v>
      </c>
      <c r="F58" s="17" t="n">
        <f aca="false">IF(RAW_DATA!F66="","",RAW_DATA!F66)</f>
        <v>6304</v>
      </c>
      <c r="G58" s="17" t="n">
        <f aca="false">IF(RAW_DATA!G66="","",RAW_DATA!G66)</f>
        <v>5921</v>
      </c>
      <c r="H58" s="11"/>
    </row>
    <row r="59" customFormat="false" ht="15" hidden="false" customHeight="false" outlineLevel="0" collapsed="false">
      <c r="A59" s="9" t="s">
        <v>389</v>
      </c>
      <c r="B59" s="19" t="n">
        <f aca="false">IFERROR(B57-B58,"")</f>
        <v>0</v>
      </c>
      <c r="C59" s="19" t="n">
        <f aca="false">IFERROR(C57-C58,"")</f>
        <v>0</v>
      </c>
      <c r="D59" s="19" t="n">
        <f aca="false">IFERROR(D57-D58,"")</f>
        <v>0</v>
      </c>
      <c r="E59" s="19" t="n">
        <f aca="false">IFERROR(E57-E58,"")</f>
        <v>0</v>
      </c>
      <c r="F59" s="19" t="n">
        <f aca="false">IFERROR(F57-F58,"")</f>
        <v>-1</v>
      </c>
      <c r="G59" s="19" t="n">
        <f aca="false">IFERROR(G57-G58,"")</f>
        <v>0</v>
      </c>
      <c r="H59" s="11" t="s">
        <v>390</v>
      </c>
    </row>
    <row r="61" customFormat="false" ht="15" hidden="false" customHeight="false" outlineLevel="0" collapsed="false">
      <c r="A61" s="7" t="s">
        <v>391</v>
      </c>
      <c r="B61" s="8"/>
      <c r="C61" s="8"/>
      <c r="D61" s="8"/>
      <c r="E61" s="8"/>
      <c r="F61" s="8"/>
      <c r="G61" s="8"/>
      <c r="H61" s="8"/>
    </row>
    <row r="62" customFormat="false" ht="15" hidden="false" customHeight="false" outlineLevel="0" collapsed="false">
      <c r="A62" s="9" t="s">
        <v>392</v>
      </c>
      <c r="B62" s="18" t="n">
        <f aca="false">IF(RAW_DATA!B94="","",RAW_DATA!B94)</f>
        <v>5475</v>
      </c>
      <c r="C62" s="18" t="n">
        <f aca="false">IF(RAW_DATA!C94="","",RAW_DATA!C94)</f>
        <v>3387</v>
      </c>
      <c r="D62" s="18" t="n">
        <f aca="false">IF(RAW_DATA!D94="","",RAW_DATA!D94)</f>
        <v>4225</v>
      </c>
      <c r="E62" s="18" t="n">
        <f aca="false">IF(RAW_DATA!E94="","",RAW_DATA!E94)</f>
        <v>4225</v>
      </c>
      <c r="F62" s="18" t="n">
        <f aca="false">IF(RAW_DATA!F94="","",RAW_DATA!F94)</f>
        <v>4045</v>
      </c>
      <c r="G62" s="18" t="n">
        <f aca="false">IF(RAW_DATA!G94="","",RAW_DATA!G94)</f>
        <v>5950</v>
      </c>
      <c r="H62" s="11"/>
    </row>
    <row r="63" customFormat="false" ht="15" hidden="false" customHeight="false" outlineLevel="0" collapsed="false">
      <c r="A63" s="9" t="s">
        <v>393</v>
      </c>
      <c r="B63" s="19" t="n">
        <f aca="false">B24</f>
        <v>7972</v>
      </c>
      <c r="C63" s="19" t="n">
        <f aca="false">C24</f>
        <v>7282</v>
      </c>
      <c r="D63" s="19" t="n">
        <f aca="false">D24</f>
        <v>9426</v>
      </c>
      <c r="E63" s="19" t="n">
        <f aca="false">E24</f>
        <v>9426</v>
      </c>
      <c r="F63" s="19" t="n">
        <f aca="false">F24</f>
        <v>9519</v>
      </c>
      <c r="G63" s="19" t="n">
        <f aca="false">G24</f>
        <v>8350</v>
      </c>
      <c r="H63" s="11"/>
    </row>
    <row r="64" customFormat="false" ht="15" hidden="false" customHeight="false" outlineLevel="0" collapsed="false">
      <c r="A64" s="9" t="s">
        <v>394</v>
      </c>
      <c r="B64" s="19" t="n">
        <f aca="false">B36</f>
        <v>-3246</v>
      </c>
      <c r="C64" s="19" t="n">
        <f aca="false">C36</f>
        <v>2453</v>
      </c>
      <c r="D64" s="19" t="n">
        <f aca="false">D36</f>
        <v>-2294</v>
      </c>
      <c r="E64" s="19" t="n">
        <f aca="false">E36</f>
        <v>-2294</v>
      </c>
      <c r="F64" s="19" t="n">
        <f aca="false">F36</f>
        <v>-625</v>
      </c>
      <c r="G64" s="19" t="n">
        <f aca="false">G36</f>
        <v>-3118</v>
      </c>
      <c r="H64" s="11"/>
    </row>
    <row r="65" customFormat="false" ht="15" hidden="false" customHeight="false" outlineLevel="0" collapsed="false">
      <c r="A65" s="9" t="s">
        <v>395</v>
      </c>
      <c r="B65" s="19" t="n">
        <f aca="false">B50</f>
        <v>-7099</v>
      </c>
      <c r="C65" s="19" t="n">
        <f aca="false">C50</f>
        <v>-8890</v>
      </c>
      <c r="D65" s="19" t="n">
        <f aca="false">D50</f>
        <v>-7193</v>
      </c>
      <c r="E65" s="19" t="n">
        <f aca="false">E50</f>
        <v>-7193</v>
      </c>
      <c r="F65" s="19" t="n">
        <f aca="false">F50</f>
        <v>-6941</v>
      </c>
      <c r="G65" s="19" t="n">
        <f aca="false">G50</f>
        <v>-6814</v>
      </c>
      <c r="H65" s="11"/>
    </row>
    <row r="66" customFormat="false" ht="15" hidden="false" customHeight="false" outlineLevel="0" collapsed="false">
      <c r="A66" s="9" t="s">
        <v>396</v>
      </c>
      <c r="B66" s="18" t="n">
        <f aca="false">IF(RAW_DATA!B96="","",RAW_DATA!B96)</f>
        <v>285</v>
      </c>
      <c r="C66" s="18" t="n">
        <f aca="false">IF(RAW_DATA!C96="","",RAW_DATA!C96)</f>
        <v>-7</v>
      </c>
      <c r="D66" s="18" t="n">
        <f aca="false">IF(RAW_DATA!D96="","",RAW_DATA!D96)</f>
        <v>-119</v>
      </c>
      <c r="E66" s="18" t="n">
        <f aca="false">IF(RAW_DATA!E96="","",RAW_DATA!E96)</f>
        <v>-119</v>
      </c>
      <c r="F66" s="18" t="n">
        <f aca="false">IF(RAW_DATA!F96="","",RAW_DATA!F96)</f>
        <v>-48</v>
      </c>
      <c r="G66" s="18" t="n">
        <f aca="false">IF(RAW_DATA!G96="","",RAW_DATA!G96)</f>
        <v>-498</v>
      </c>
      <c r="H66" s="11"/>
    </row>
    <row r="67" customFormat="false" ht="15" hidden="false" customHeight="false" outlineLevel="0" collapsed="false">
      <c r="A67" s="22" t="s">
        <v>397</v>
      </c>
      <c r="B67" s="26" t="n">
        <f aca="false">IFERROR(B62+B63+B64+B65+B66,"")</f>
        <v>3387</v>
      </c>
      <c r="C67" s="26" t="n">
        <f aca="false">IFERROR(C62+C63+C64+C65+C66,"")</f>
        <v>4225</v>
      </c>
      <c r="D67" s="26" t="n">
        <f aca="false">IFERROR(D62+D63+D64+D65+D66,"")</f>
        <v>4045</v>
      </c>
      <c r="E67" s="26" t="n">
        <f aca="false">IFERROR(E62+E63+E64+E65+E66,"")</f>
        <v>4045</v>
      </c>
      <c r="F67" s="26" t="n">
        <f aca="false">IFERROR(F62+F63+F64+F65+F66,"")</f>
        <v>5950</v>
      </c>
      <c r="G67" s="26" t="n">
        <f aca="false">IFERROR(G62+G63+G64+G65+G66,"")</f>
        <v>3870</v>
      </c>
      <c r="H67" s="25"/>
    </row>
    <row r="68" customFormat="false" ht="15" hidden="false" customHeight="false" outlineLevel="0" collapsed="false">
      <c r="A68" s="14" t="s">
        <v>398</v>
      </c>
      <c r="B68" s="17" t="n">
        <f aca="false">IF(RAW_DATA!B97="","",RAW_DATA!B97)</f>
        <v>3387</v>
      </c>
      <c r="C68" s="17" t="n">
        <f aca="false">IF(RAW_DATA!C97="","",RAW_DATA!C97)</f>
        <v>4225</v>
      </c>
      <c r="D68" s="17" t="n">
        <f aca="false">IF(RAW_DATA!D97="","",RAW_DATA!D97)</f>
        <v>4045</v>
      </c>
      <c r="E68" s="17" t="n">
        <f aca="false">IF(RAW_DATA!E97="","",RAW_DATA!E97)</f>
        <v>4045</v>
      </c>
      <c r="F68" s="17" t="n">
        <f aca="false">IF(RAW_DATA!F97="","",RAW_DATA!F97)</f>
        <v>5950</v>
      </c>
      <c r="G68" s="17" t="n">
        <f aca="false">IF(RAW_DATA!G97="","",RAW_DATA!G97)</f>
        <v>3870</v>
      </c>
      <c r="H68" s="11" t="s">
        <v>399</v>
      </c>
    </row>
    <row r="69" customFormat="false" ht="15" hidden="false" customHeight="false" outlineLevel="0" collapsed="false">
      <c r="A69" s="9" t="s">
        <v>400</v>
      </c>
      <c r="B69" s="19" t="n">
        <f aca="false">IFERROR(B67-B68,"")</f>
        <v>0</v>
      </c>
      <c r="C69" s="19" t="n">
        <f aca="false">IFERROR(C67-C68,"")</f>
        <v>0</v>
      </c>
      <c r="D69" s="19" t="n">
        <f aca="false">IFERROR(D67-D68,"")</f>
        <v>0</v>
      </c>
      <c r="E69" s="19" t="n">
        <f aca="false">IFERROR(E67-E68,"")</f>
        <v>0</v>
      </c>
      <c r="F69" s="19" t="n">
        <f aca="false">IFERROR(F67-F68,"")</f>
        <v>0</v>
      </c>
      <c r="G69" s="19" t="n">
        <f aca="false">IFERROR(G67-G68,"")</f>
        <v>0</v>
      </c>
      <c r="H69" s="11"/>
    </row>
    <row r="71" customFormat="false" ht="15" hidden="false" customHeight="false" outlineLevel="0" collapsed="false">
      <c r="A71" s="7" t="s">
        <v>401</v>
      </c>
      <c r="B71" s="8"/>
      <c r="C71" s="8"/>
      <c r="D71" s="8"/>
      <c r="E71" s="8"/>
      <c r="F71" s="8"/>
      <c r="G71" s="8"/>
      <c r="H71" s="8"/>
    </row>
    <row r="72" customFormat="false" ht="15" hidden="false" customHeight="false" outlineLevel="0" collapsed="false">
      <c r="A72" s="9" t="s">
        <v>402</v>
      </c>
      <c r="B72" s="21" t="n">
        <f aca="false">IFERROR(B19/HISTORICAL_IS!B8,"")</f>
        <v>1.18421052631579</v>
      </c>
      <c r="C72" s="21" t="n">
        <f aca="false">IFERROR(C19/HISTORICAL_IS!C8,"")</f>
        <v>0.938075313807531</v>
      </c>
      <c r="D72" s="21" t="n">
        <f aca="false">IFERROR(D19/HISTORICAL_IS!D8,"")</f>
        <v>1.18477146956344</v>
      </c>
      <c r="E72" s="21" t="n">
        <f aca="false">IFERROR(E19/HISTORICAL_IS!E8,"")</f>
        <v>1.14758835296733</v>
      </c>
      <c r="F72" s="21" t="n">
        <f aca="false">IFERROR(F19/HISTORICAL_IS!F8,"")</f>
        <v>1.23604032166723</v>
      </c>
      <c r="G72" s="21" t="n">
        <f aca="false">IFERROR(G19/HISTORICAL_IS!G8,"")</f>
        <v>1.19198849175611</v>
      </c>
      <c r="H72" s="11" t="s">
        <v>403</v>
      </c>
    </row>
    <row r="73" customFormat="false" ht="22.35" hidden="false" customHeight="false" outlineLevel="0" collapsed="false">
      <c r="A73" s="9" t="s">
        <v>404</v>
      </c>
      <c r="B73" s="21" t="n">
        <f aca="false">IFERROR(B57/HISTORICAL_IS!B15,"")</f>
        <v>0.965564114182148</v>
      </c>
      <c r="C73" s="21" t="n">
        <f aca="false">IFERROR(C57/HISTORICAL_IS!C15,"")</f>
        <v>0.628612891522554</v>
      </c>
      <c r="D73" s="21" t="n">
        <f aca="false">IFERROR(D57/HISTORICAL_IS!D15,"")</f>
        <v>0.993137254901961</v>
      </c>
      <c r="E73" s="21" t="n">
        <f aca="false">IFERROR(E57/HISTORICAL_IS!E15,"")</f>
        <v>0.971071267138768</v>
      </c>
      <c r="F73" s="21" t="n">
        <f aca="false">IFERROR(F57/HISTORICAL_IS!F15,"")</f>
        <v>1.04371584699454</v>
      </c>
      <c r="G73" s="21" t="n">
        <f aca="false">IFERROR(G57/HISTORICAL_IS!G15,"")</f>
        <v>0.953001770481249</v>
      </c>
      <c r="H73" s="11" t="s">
        <v>405</v>
      </c>
    </row>
    <row r="74" customFormat="false" ht="15" hidden="false" customHeight="false" outlineLevel="0" collapsed="false">
      <c r="A74" s="9" t="s">
        <v>406</v>
      </c>
      <c r="B74" s="21" t="n">
        <f aca="false">IFERROR(ABS(B27)/HISTORICAL_IS!B6,"")</f>
        <v>0.0236252002135611</v>
      </c>
      <c r="C74" s="21" t="n">
        <f aca="false">IFERROR(ABS(C27)/HISTORICAL_IS!C6,"")</f>
        <v>0.0270837148136434</v>
      </c>
      <c r="D74" s="21" t="n">
        <f aca="false">IFERROR(ABS(D27)/HISTORICAL_IS!D6,"")</f>
        <v>0.0285719079256426</v>
      </c>
      <c r="E74" s="21" t="n">
        <f aca="false">IFERROR(ABS(E27)/HISTORICAL_IS!E6,"")</f>
        <v>0.0274767801857585</v>
      </c>
      <c r="F74" s="21" t="n">
        <f aca="false">IFERROR(ABS(F27)/HISTORICAL_IS!F6,"")</f>
        <v>0.0304693305893786</v>
      </c>
      <c r="G74" s="21" t="n">
        <f aca="false">IFERROR(ABS(G27)/HISTORICAL_IS!G6,"")</f>
        <v>0.0290081777320159</v>
      </c>
      <c r="H74" s="11"/>
    </row>
    <row r="75" customFormat="false" ht="15" hidden="false" customHeight="false" outlineLevel="0" collapsed="false">
      <c r="A75" s="9" t="s">
        <v>407</v>
      </c>
      <c r="B75" s="28" t="n">
        <f aca="false">IFERROR(B57/ABS(B39),"")</f>
        <v>1.42605398170868</v>
      </c>
      <c r="C75" s="28" t="n">
        <f aca="false">IFERROR(C57/ABS(C39),"")</f>
        <v>1.2007392007392</v>
      </c>
      <c r="D75" s="28" t="n">
        <f aca="false">IFERROR(D57/ABS(D39),"")</f>
        <v>1.62525785010314</v>
      </c>
      <c r="E75" s="28" t="n">
        <f aca="false">IFERROR(E57/ABS(E39),"")</f>
        <v>1.47719459087784</v>
      </c>
      <c r="F75" s="28" t="n">
        <f aca="false">IFERROR(F57/ABS(F39),"")</f>
        <v>1.45936559388747</v>
      </c>
      <c r="G75" s="28" t="n">
        <f aca="false">IFERROR(G57/ABS(G39),"")</f>
        <v>1.32966539411633</v>
      </c>
      <c r="H75" s="11"/>
    </row>
    <row r="76" customFormat="false" ht="15" hidden="false" customHeight="false" outlineLevel="0" collapsed="false">
      <c r="A76" s="9" t="s">
        <v>408</v>
      </c>
      <c r="B76" s="21" t="n">
        <f aca="false">IFERROR((ABS(B39)+ABS(B45))/B57,"")</f>
        <v>1.17331456280307</v>
      </c>
      <c r="C76" s="21" t="n">
        <f aca="false">IFERROR((ABS(C39)+ABS(C45))/C57,"")</f>
        <v>1.12312427856868</v>
      </c>
      <c r="D76" s="21" t="n">
        <f aca="false">IFERROR((ABS(D39)+ABS(D45))/D57,"")</f>
        <v>0.827809899873079</v>
      </c>
      <c r="E76" s="21" t="str">
        <f aca="false">IFERROR((ABS(E39)+ABS(E45))/E57,"")</f>
        <v/>
      </c>
      <c r="F76" s="21" t="n">
        <f aca="false">IFERROR((ABS(F39)+ABS(F45))/F57,"")</f>
        <v>0.924480406155799</v>
      </c>
      <c r="G76" s="21" t="n">
        <f aca="false">IFERROR((ABS(G39)+ABS(G45))/G57,"")</f>
        <v>1.00709339638575</v>
      </c>
      <c r="H76" s="11" t="s">
        <v>409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2"/>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70"/>
  </cols>
  <sheetData>
    <row r="1" customFormat="false" ht="16.15" hidden="false" customHeight="false" outlineLevel="0" collapsed="false">
      <c r="A1" s="1" t="s">
        <v>410</v>
      </c>
    </row>
    <row r="2" customFormat="false" ht="15" hidden="false" customHeight="false" outlineLevel="0" collapsed="false">
      <c r="A2" s="5" t="s">
        <v>411</v>
      </c>
    </row>
    <row r="4" customFormat="false" ht="23.85" hidden="false" customHeight="false" outlineLevel="0" collapsed="false">
      <c r="A4" s="15" t="s">
        <v>258</v>
      </c>
      <c r="B4" s="16" t="s">
        <v>37</v>
      </c>
      <c r="C4" s="16" t="s">
        <v>38</v>
      </c>
      <c r="D4" s="16" t="s">
        <v>39</v>
      </c>
      <c r="E4" s="16" t="s">
        <v>40</v>
      </c>
      <c r="F4" s="16" t="s">
        <v>41</v>
      </c>
      <c r="G4" s="16" t="s">
        <v>42</v>
      </c>
      <c r="H4" s="16" t="s">
        <v>259</v>
      </c>
    </row>
    <row r="5" customFormat="false" ht="15" hidden="false" customHeight="false" outlineLevel="0" collapsed="false">
      <c r="A5" s="7" t="s">
        <v>412</v>
      </c>
      <c r="B5" s="8"/>
      <c r="C5" s="8"/>
      <c r="D5" s="8"/>
      <c r="E5" s="8"/>
      <c r="F5" s="8"/>
      <c r="G5" s="8"/>
      <c r="H5" s="8"/>
    </row>
    <row r="6" customFormat="false" ht="15" hidden="false" customHeight="false" outlineLevel="0" collapsed="false">
      <c r="A6" s="9" t="s">
        <v>77</v>
      </c>
      <c r="B6" s="18" t="n">
        <f aca="false">HISTORICAL_BS!B6</f>
        <v>4683</v>
      </c>
      <c r="C6" s="18" t="n">
        <f aca="false">HISTORICAL_BS!C6</f>
        <v>5931</v>
      </c>
      <c r="D6" s="18" t="n">
        <f aca="false">HISTORICAL_BS!D6</f>
        <v>5119</v>
      </c>
      <c r="E6" s="12"/>
      <c r="F6" s="18" t="n">
        <f aca="false">HISTORICAL_BS!F6</f>
        <v>5177</v>
      </c>
      <c r="G6" s="18" t="n">
        <f aca="false">HISTORICAL_BS!G6</f>
        <v>4043</v>
      </c>
      <c r="H6" s="11"/>
    </row>
    <row r="7" customFormat="false" ht="15" hidden="false" customHeight="false" outlineLevel="0" collapsed="false">
      <c r="A7" s="9" t="s">
        <v>79</v>
      </c>
      <c r="B7" s="18" t="n">
        <f aca="false">HISTORICAL_BS!B7</f>
        <v>3582</v>
      </c>
      <c r="C7" s="18" t="n">
        <f aca="false">HISTORICAL_BS!C7</f>
        <v>4544</v>
      </c>
      <c r="D7" s="18" t="n">
        <f aca="false">HISTORICAL_BS!D7</f>
        <v>4023</v>
      </c>
      <c r="E7" s="12"/>
      <c r="F7" s="18" t="n">
        <f aca="false">HISTORICAL_BS!F7</f>
        <v>4227</v>
      </c>
      <c r="G7" s="18" t="n">
        <f aca="false">HISTORICAL_BS!G7</f>
        <v>4852</v>
      </c>
      <c r="H7" s="11"/>
    </row>
    <row r="8" customFormat="false" ht="15" hidden="false" customHeight="false" outlineLevel="0" collapsed="false">
      <c r="A8" s="9" t="s">
        <v>84</v>
      </c>
      <c r="B8" s="18" t="n">
        <f aca="false">HISTORICAL_BS!B26</f>
        <v>8896</v>
      </c>
      <c r="C8" s="18" t="n">
        <f aca="false">HISTORICAL_BS!C26</f>
        <v>11100</v>
      </c>
      <c r="D8" s="18" t="n">
        <f aca="false">HISTORICAL_BS!D26</f>
        <v>10355</v>
      </c>
      <c r="E8" s="12"/>
      <c r="F8" s="18" t="n">
        <f aca="false">HISTORICAL_BS!F26</f>
        <v>10258</v>
      </c>
      <c r="G8" s="18" t="n">
        <f aca="false">HISTORICAL_BS!G26</f>
        <v>10994</v>
      </c>
      <c r="H8" s="11"/>
    </row>
    <row r="10" customFormat="false" ht="15" hidden="false" customHeight="false" outlineLevel="0" collapsed="false">
      <c r="A10" s="7" t="s">
        <v>413</v>
      </c>
      <c r="B10" s="8"/>
      <c r="C10" s="8"/>
      <c r="D10" s="8"/>
      <c r="E10" s="8"/>
      <c r="F10" s="8"/>
      <c r="G10" s="8"/>
      <c r="H10" s="8"/>
    </row>
    <row r="11" customFormat="false" ht="15" hidden="false" customHeight="false" outlineLevel="0" collapsed="false">
      <c r="A11" s="9" t="s">
        <v>414</v>
      </c>
      <c r="B11" s="20"/>
      <c r="C11" s="19" t="n">
        <f aca="false">IFERROR(C6-B6,"")</f>
        <v>1248</v>
      </c>
      <c r="D11" s="19" t="n">
        <f aca="false">IFERROR(D6-C6,"")</f>
        <v>-812</v>
      </c>
      <c r="E11" s="12"/>
      <c r="F11" s="19" t="n">
        <f aca="false">IFERROR(F6-D6,"")</f>
        <v>58</v>
      </c>
      <c r="G11" s="19" t="n">
        <f aca="false">IFERROR(G6-F6,"")</f>
        <v>-1134</v>
      </c>
      <c r="H11" s="11"/>
    </row>
    <row r="12" customFormat="false" ht="15" hidden="false" customHeight="false" outlineLevel="0" collapsed="false">
      <c r="A12" s="9" t="s">
        <v>415</v>
      </c>
      <c r="B12" s="20"/>
      <c r="C12" s="19" t="n">
        <f aca="false">IFERROR(C7-B7,"")</f>
        <v>962</v>
      </c>
      <c r="D12" s="19" t="n">
        <f aca="false">IFERROR(D7-C7,"")</f>
        <v>-521</v>
      </c>
      <c r="E12" s="12"/>
      <c r="F12" s="19" t="n">
        <f aca="false">IFERROR(F7-D7,"")</f>
        <v>204</v>
      </c>
      <c r="G12" s="19" t="n">
        <f aca="false">IFERROR(G7-F7,"")</f>
        <v>625</v>
      </c>
      <c r="H12" s="11"/>
    </row>
    <row r="13" customFormat="false" ht="15" hidden="false" customHeight="false" outlineLevel="0" collapsed="false">
      <c r="A13" s="9" t="s">
        <v>416</v>
      </c>
      <c r="B13" s="20"/>
      <c r="C13" s="19" t="n">
        <f aca="false">IFERROR(C8-B8,"")</f>
        <v>2204</v>
      </c>
      <c r="D13" s="19" t="n">
        <f aca="false">IFERROR(D8-C8,"")</f>
        <v>-745</v>
      </c>
      <c r="E13" s="12"/>
      <c r="F13" s="19" t="n">
        <f aca="false">IFERROR(F8-D8,"")</f>
        <v>-97</v>
      </c>
      <c r="G13" s="19" t="n">
        <f aca="false">IFERROR(G8-F8,"")</f>
        <v>736</v>
      </c>
      <c r="H13" s="11"/>
    </row>
    <row r="15" customFormat="false" ht="15" hidden="false" customHeight="false" outlineLevel="0" collapsed="false">
      <c r="A15" s="7" t="s">
        <v>417</v>
      </c>
      <c r="B15" s="8"/>
      <c r="C15" s="8"/>
      <c r="D15" s="8"/>
      <c r="E15" s="8"/>
      <c r="F15" s="8"/>
      <c r="G15" s="8"/>
      <c r="H15" s="8"/>
    </row>
    <row r="16" customFormat="false" ht="15" hidden="false" customHeight="false" outlineLevel="0" collapsed="false">
      <c r="A16" s="9" t="s">
        <v>418</v>
      </c>
      <c r="B16" s="20"/>
      <c r="C16" s="19" t="n">
        <f aca="false">IFERROR(-C11,"")</f>
        <v>-1248</v>
      </c>
      <c r="D16" s="19" t="n">
        <f aca="false">IFERROR(-D11,"")</f>
        <v>812</v>
      </c>
      <c r="E16" s="12"/>
      <c r="F16" s="19" t="n">
        <f aca="false">IFERROR(-F11,"")</f>
        <v>-58</v>
      </c>
      <c r="G16" s="19" t="n">
        <f aca="false">IFERROR(-G11,"")</f>
        <v>1134</v>
      </c>
      <c r="H16" s="11"/>
    </row>
    <row r="17" customFormat="false" ht="15" hidden="false" customHeight="false" outlineLevel="0" collapsed="false">
      <c r="A17" s="9" t="s">
        <v>419</v>
      </c>
      <c r="B17" s="20"/>
      <c r="C17" s="19" t="n">
        <f aca="false">IFERROR(-C12,"")</f>
        <v>-962</v>
      </c>
      <c r="D17" s="19" t="n">
        <f aca="false">IFERROR(-D12,"")</f>
        <v>521</v>
      </c>
      <c r="E17" s="12"/>
      <c r="F17" s="19" t="n">
        <f aca="false">IFERROR(-F12,"")</f>
        <v>-204</v>
      </c>
      <c r="G17" s="19" t="n">
        <f aca="false">IFERROR(-G12,"")</f>
        <v>-625</v>
      </c>
      <c r="H17" s="11"/>
    </row>
    <row r="18" customFormat="false" ht="15" hidden="false" customHeight="false" outlineLevel="0" collapsed="false">
      <c r="A18" s="9" t="s">
        <v>420</v>
      </c>
      <c r="B18" s="20"/>
      <c r="C18" s="19" t="n">
        <f aca="false">IFERROR(C13,"")</f>
        <v>2204</v>
      </c>
      <c r="D18" s="19" t="n">
        <f aca="false">IFERROR(D13,"")</f>
        <v>-745</v>
      </c>
      <c r="E18" s="12"/>
      <c r="F18" s="19" t="n">
        <f aca="false">IFERROR(F13,"")</f>
        <v>-97</v>
      </c>
      <c r="G18" s="19" t="n">
        <f aca="false">IFERROR(G13,"")</f>
        <v>736</v>
      </c>
      <c r="H18" s="11"/>
    </row>
    <row r="19" customFormat="false" ht="15" hidden="false" customHeight="false" outlineLevel="0" collapsed="false">
      <c r="A19" s="22" t="s">
        <v>421</v>
      </c>
      <c r="C19" s="26" t="n">
        <f aca="false">IFERROR(C16+C17+C18,"")</f>
        <v>-6</v>
      </c>
      <c r="D19" s="26" t="n">
        <f aca="false">IFERROR(D16+D17+D18,"")</f>
        <v>588</v>
      </c>
      <c r="E19" s="24"/>
      <c r="F19" s="26" t="n">
        <f aca="false">IFERROR(F16+F17+F18,"")</f>
        <v>-359</v>
      </c>
      <c r="G19" s="26" t="n">
        <f aca="false">IFERROR(G16+G17+G18,"")</f>
        <v>1245</v>
      </c>
      <c r="H19" s="25"/>
    </row>
    <row r="20" customFormat="false" ht="22.35" hidden="false" customHeight="false" outlineLevel="0" collapsed="false">
      <c r="A20" s="9" t="s">
        <v>422</v>
      </c>
      <c r="B20" s="18" t="str">
        <f aca="false">HISTORICAL_CF!B12</f>
        <v/>
      </c>
      <c r="C20" s="18" t="str">
        <f aca="false">HISTORICAL_CF!C12</f>
        <v/>
      </c>
      <c r="D20" s="18" t="str">
        <f aca="false">HISTORICAL_CF!D12</f>
        <v/>
      </c>
      <c r="E20" s="18" t="n">
        <f aca="false">HISTORICAL_CF!E12</f>
        <v>753</v>
      </c>
      <c r="F20" s="18" t="n">
        <f aca="false">HISTORICAL_CF!F12</f>
        <v>-188</v>
      </c>
      <c r="G20" s="18" t="n">
        <f aca="false">HISTORICAL_CF!G12</f>
        <v>116</v>
      </c>
      <c r="H20" s="11" t="s">
        <v>423</v>
      </c>
    </row>
    <row r="22" customFormat="false" ht="15.75" hidden="false" customHeight="true" outlineLevel="0" collapsed="false">
      <c r="A22" s="29" t="s">
        <v>424</v>
      </c>
      <c r="B22" s="29"/>
      <c r="C22" s="29"/>
      <c r="D22" s="29"/>
      <c r="E22" s="29"/>
      <c r="F22" s="29"/>
      <c r="G22" s="29"/>
      <c r="H22" s="29"/>
    </row>
    <row r="23" customFormat="false" ht="27.75" hidden="false" customHeight="true" outlineLevel="0" collapsed="false">
      <c r="A23" s="30" t="s">
        <v>425</v>
      </c>
      <c r="B23" s="30"/>
      <c r="C23" s="30"/>
      <c r="D23" s="30"/>
      <c r="E23" s="30"/>
      <c r="F23" s="30"/>
      <c r="G23" s="30"/>
      <c r="H23" s="30"/>
    </row>
    <row r="24" customFormat="false" ht="27.75" hidden="false" customHeight="true" outlineLevel="0" collapsed="false">
      <c r="A24" s="30" t="s">
        <v>426</v>
      </c>
      <c r="B24" s="30"/>
      <c r="C24" s="30"/>
      <c r="D24" s="30"/>
      <c r="E24" s="30"/>
      <c r="F24" s="30"/>
      <c r="G24" s="30"/>
      <c r="H24" s="30"/>
    </row>
    <row r="25" customFormat="false" ht="27.75" hidden="false" customHeight="true" outlineLevel="0" collapsed="false">
      <c r="A25" s="30" t="s">
        <v>427</v>
      </c>
      <c r="B25" s="30"/>
      <c r="C25" s="30"/>
      <c r="D25" s="30"/>
      <c r="E25" s="30"/>
      <c r="F25" s="30"/>
      <c r="G25" s="30"/>
      <c r="H25" s="30"/>
    </row>
    <row r="26" customFormat="false" ht="27.75" hidden="false" customHeight="true" outlineLevel="0" collapsed="false">
      <c r="A26" s="30" t="s">
        <v>428</v>
      </c>
      <c r="B26" s="30"/>
      <c r="C26" s="30"/>
      <c r="D26" s="30"/>
      <c r="E26" s="30"/>
      <c r="F26" s="30"/>
      <c r="G26" s="30"/>
      <c r="H26" s="30"/>
    </row>
  </sheetData>
  <mergeCells count="5">
    <mergeCell ref="A22:H22"/>
    <mergeCell ref="A23:H23"/>
    <mergeCell ref="A24:H24"/>
    <mergeCell ref="A25:H25"/>
    <mergeCell ref="A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3" min="2" style="0" width="11"/>
    <col collapsed="false" customWidth="true" hidden="false" outlineLevel="0" max="4" min="4" style="0" width="13"/>
    <col collapsed="false" customWidth="true" hidden="false" outlineLevel="0" max="5" min="5" style="0" width="14"/>
    <col collapsed="false" customWidth="true" hidden="false" outlineLevel="0" max="7" min="6" style="0" width="11"/>
    <col collapsed="false" customWidth="true" hidden="false" outlineLevel="0" max="8" min="8" style="0" width="12"/>
    <col collapsed="false" customWidth="true" hidden="false" outlineLevel="0" max="9" min="9" style="0" width="16"/>
    <col collapsed="false" customWidth="true" hidden="false" outlineLevel="0" max="10" min="10" style="0" width="60"/>
  </cols>
  <sheetData>
    <row r="1" customFormat="false" ht="16.15" hidden="false" customHeight="false" outlineLevel="0" collapsed="false">
      <c r="A1" s="1" t="s">
        <v>429</v>
      </c>
    </row>
    <row r="2" customFormat="false" ht="15" hidden="false" customHeight="false" outlineLevel="0" collapsed="false">
      <c r="A2" s="5" t="s">
        <v>430</v>
      </c>
    </row>
    <row r="3" customFormat="false" ht="15" hidden="false" customHeight="false" outlineLevel="0" collapsed="false">
      <c r="A3" s="22" t="s">
        <v>431</v>
      </c>
      <c r="B3" s="31" t="n">
        <v>1</v>
      </c>
      <c r="C3" s="5" t="s">
        <v>432</v>
      </c>
    </row>
    <row r="5" customFormat="false" ht="15" hidden="false" customHeight="false" outlineLevel="0" collapsed="false">
      <c r="A5" s="7" t="s">
        <v>433</v>
      </c>
      <c r="B5" s="8"/>
      <c r="C5" s="8"/>
      <c r="D5" s="8"/>
      <c r="E5" s="8"/>
      <c r="F5" s="8"/>
      <c r="G5" s="8"/>
      <c r="H5" s="8"/>
      <c r="I5" s="8"/>
      <c r="J5" s="8"/>
    </row>
    <row r="6" customFormat="false" ht="15" hidden="false" customHeight="false" outlineLevel="0" collapsed="false">
      <c r="A6" s="32" t="s">
        <v>434</v>
      </c>
      <c r="B6" s="33" t="n">
        <f aca="false">(H14="PASS")*1+(H16="PASS")*1+(H18="PASS")*1+(H20="PASS")*1+(H22="PASS")*1+(H24="PASS")*1</f>
        <v>6</v>
      </c>
    </row>
    <row r="7" customFormat="false" ht="15" hidden="false" customHeight="false" outlineLevel="0" collapsed="false">
      <c r="A7" s="32" t="s">
        <v>435</v>
      </c>
      <c r="B7" s="33" t="n">
        <f aca="false">(H14="ERROR")*1+(H16="ERROR")*1+(H18="ERROR")*1+(H20="ERROR")*1+(H22="ERROR")*1+(H24="ERROR")*1</f>
        <v>0</v>
      </c>
    </row>
    <row r="8" customFormat="false" ht="15" hidden="false" customHeight="false" outlineLevel="0" collapsed="false">
      <c r="A8" s="32" t="s">
        <v>436</v>
      </c>
      <c r="B8" s="33" t="n">
        <f aca="false">(H14="N/A")*1+(H16="N/A")*1+(H18="N/A")*1+(H20="N/A")*1+(H22="N/A")*1+(H24="N/A")*1</f>
        <v>0</v>
      </c>
    </row>
    <row r="9" customFormat="false" ht="15" hidden="false" customHeight="false" outlineLevel="0" collapsed="false">
      <c r="A9" s="32" t="s">
        <v>437</v>
      </c>
      <c r="B9" s="33" t="n">
        <f aca="false">COUNTIF(B15:G15,"ERROR")+COUNTIF(B17:G17,"ERROR")+COUNTIF(B19:G19,"ERROR")+COUNTIF(B21:G21,"ERROR")+COUNTIF(B23:G23,"ERROR")+COUNTIF(B25:G25,"ERROR")+COUNTIF(B30:G30,"ERROR")+COUNTIF(B32:G32,"ERROR")+COUNTIF(B34:G34,"ERROR")+COUNTIF(B36:G36,"ERROR")+COUNTIF(B38:G38,"ERROR")+COUNTIF(B40:G40,"ERROR")+COUNTIF(B42:G42,"ERROR")+COUNTIF(B44:G44,"ERROR")+COUNTIF(B46:G46,"ERROR")</f>
        <v>0</v>
      </c>
    </row>
    <row r="10" customFormat="false" ht="15" hidden="false" customHeight="false" outlineLevel="0" collapsed="false">
      <c r="A10" s="22" t="s">
        <v>438</v>
      </c>
      <c r="B10" s="34" t="str">
        <f aca="false">IF(B7+B9&gt;0,"NOT COMPLETE — resolve ERROR flags",IF(B8&gt;0,"BUILT — "&amp;B8&amp;" of 6 core checks awaiting source data","COMPLETE — all core checks PASS"))</f>
        <v>COMPLETE — all core checks PASS</v>
      </c>
    </row>
    <row r="12" customFormat="false" ht="15" hidden="false" customHeight="false" outlineLevel="0" collapsed="false">
      <c r="A12" s="7" t="s">
        <v>439</v>
      </c>
      <c r="B12" s="8"/>
      <c r="C12" s="8"/>
      <c r="D12" s="8"/>
      <c r="E12" s="8"/>
      <c r="F12" s="8"/>
      <c r="G12" s="8"/>
      <c r="H12" s="8"/>
      <c r="I12" s="8"/>
      <c r="J12" s="8"/>
    </row>
    <row r="13" customFormat="false" ht="15" hidden="false" customHeight="false" outlineLevel="0" collapsed="false">
      <c r="A13" s="35" t="s">
        <v>440</v>
      </c>
      <c r="B13" s="36" t="s">
        <v>37</v>
      </c>
      <c r="C13" s="36" t="s">
        <v>38</v>
      </c>
      <c r="D13" s="36" t="s">
        <v>39</v>
      </c>
      <c r="E13" s="36" t="s">
        <v>40</v>
      </c>
      <c r="F13" s="36" t="s">
        <v>41</v>
      </c>
      <c r="G13" s="36" t="s">
        <v>42</v>
      </c>
      <c r="H13" s="36" t="s">
        <v>43</v>
      </c>
      <c r="I13" s="36" t="s">
        <v>441</v>
      </c>
      <c r="J13" s="36" t="s">
        <v>442</v>
      </c>
    </row>
    <row r="14" customFormat="false" ht="15" hidden="false" customHeight="false" outlineLevel="0" collapsed="false">
      <c r="A14" s="14" t="s">
        <v>443</v>
      </c>
      <c r="B14" s="37" t="n">
        <f aca="false">IF(COUNT(HISTORICAL_IS!B8,HISTORICAL_IS!B9,HISTORICAL_IS!B10,HISTORICAL_IS!B11,HISTORICAL_IS!B12,HISTORICAL_IS!B13)&lt;6,"N/A",HISTORICAL_IS!B8-HISTORICAL_IS!B9+HISTORICAL_IS!B10+HISTORICAL_IS!B11+HISTORICAL_IS!B12-HISTORICAL_IS!B13)</f>
        <v>0</v>
      </c>
      <c r="C14" s="37" t="n">
        <f aca="false">IF(COUNT(HISTORICAL_IS!C8,HISTORICAL_IS!C9,HISTORICAL_IS!C10,HISTORICAL_IS!C11,HISTORICAL_IS!C12,HISTORICAL_IS!C13)&lt;6,"N/A",HISTORICAL_IS!C8-HISTORICAL_IS!C9+HISTORICAL_IS!C10+HISTORICAL_IS!C11+HISTORICAL_IS!C12-HISTORICAL_IS!C13)</f>
        <v>0</v>
      </c>
      <c r="D14" s="37" t="n">
        <f aca="false">IF(COUNT(HISTORICAL_IS!D8,HISTORICAL_IS!D9,HISTORICAL_IS!D10,HISTORICAL_IS!D11,HISTORICAL_IS!D12,HISTORICAL_IS!D13)&lt;6,"N/A",HISTORICAL_IS!D8-HISTORICAL_IS!D9+HISTORICAL_IS!D10+HISTORICAL_IS!D11+HISTORICAL_IS!D12-HISTORICAL_IS!D13)</f>
        <v>0</v>
      </c>
      <c r="E14" s="37" t="n">
        <f aca="false">IF(COUNT(HISTORICAL_IS!E8,HISTORICAL_IS!E9,HISTORICAL_IS!E10,HISTORICAL_IS!E11,HISTORICAL_IS!E12,HISTORICAL_IS!E13)&lt;6,"N/A",HISTORICAL_IS!E8-HISTORICAL_IS!E9+HISTORICAL_IS!E10+HISTORICAL_IS!E11+HISTORICAL_IS!E12-HISTORICAL_IS!E13)</f>
        <v>0</v>
      </c>
      <c r="F14" s="37" t="n">
        <f aca="false">IF(COUNT(HISTORICAL_IS!F8,HISTORICAL_IS!F9,HISTORICAL_IS!F10,HISTORICAL_IS!F11,HISTORICAL_IS!F12,HISTORICAL_IS!F13)&lt;6,"N/A",HISTORICAL_IS!F8-HISTORICAL_IS!F9+HISTORICAL_IS!F10+HISTORICAL_IS!F11+HISTORICAL_IS!F12-HISTORICAL_IS!F13)</f>
        <v>0</v>
      </c>
      <c r="G14" s="37" t="n">
        <f aca="false">IF(COUNT(HISTORICAL_IS!G8,HISTORICAL_IS!G9,HISTORICAL_IS!G10,HISTORICAL_IS!G11,HISTORICAL_IS!G12,HISTORICAL_IS!G13)&lt;6,"N/A",HISTORICAL_IS!G8-HISTORICAL_IS!G9+HISTORICAL_IS!G10+HISTORICAL_IS!G11+HISTORICAL_IS!G12-HISTORICAL_IS!G13)</f>
        <v>1</v>
      </c>
      <c r="H14" s="38" t="str">
        <f aca="false">IF(COUNTIF(B15:G15,"ERROR")&gt;0,"ERROR",IF(COUNTIF(B15:G15,"PASS")&gt;0,"PASS","N/A"))</f>
        <v>PASS</v>
      </c>
      <c r="I14" s="39" t="str">
        <f aca="false">COUNTIF(B15:G15,"PASS")+COUNTIF(B15:G15,"ERROR")&amp;" of 6"</f>
        <v>6 of 6</v>
      </c>
      <c r="J14" s="11" t="s">
        <v>444</v>
      </c>
    </row>
    <row r="15" customFormat="false" ht="15" hidden="false" customHeight="false" outlineLevel="0" collapsed="false">
      <c r="A15" s="40" t="s">
        <v>445</v>
      </c>
      <c r="B15" s="38" t="str">
        <f aca="false">IF(B14="N/A","N/A",IF(ABS(B14)&lt;=$B$3,"PASS","ERROR"))</f>
        <v>PASS</v>
      </c>
      <c r="C15" s="38" t="str">
        <f aca="false">IF(C14="N/A","N/A",IF(ABS(C14)&lt;=$B$3,"PASS","ERROR"))</f>
        <v>PASS</v>
      </c>
      <c r="D15" s="38" t="str">
        <f aca="false">IF(D14="N/A","N/A",IF(ABS(D14)&lt;=$B$3,"PASS","ERROR"))</f>
        <v>PASS</v>
      </c>
      <c r="E15" s="38" t="str">
        <f aca="false">IF(E14="N/A","N/A",IF(ABS(E14)&lt;=$B$3,"PASS","ERROR"))</f>
        <v>PASS</v>
      </c>
      <c r="F15" s="38" t="str">
        <f aca="false">IF(F14="N/A","N/A",IF(ABS(F14)&lt;=$B$3,"PASS","ERROR"))</f>
        <v>PASS</v>
      </c>
      <c r="G15" s="38" t="str">
        <f aca="false">IF(G14="N/A","N/A",IF(ABS(G14)&lt;=$B$3,"PASS","ERROR"))</f>
        <v>PASS</v>
      </c>
      <c r="H15" s="20"/>
      <c r="I15" s="20"/>
      <c r="J15" s="20"/>
    </row>
    <row r="16" customFormat="false" ht="15" hidden="false" customHeight="false" outlineLevel="0" collapsed="false">
      <c r="A16" s="14" t="s">
        <v>446</v>
      </c>
      <c r="B16" s="37" t="n">
        <f aca="false">IF(COUNT(HISTORICAL_IS!B13,HISTORICAL_IS!B14,HISTORICAL_IS!B15)&lt;3,"N/A",HISTORICAL_IS!B13-HISTORICAL_IS!B14-HISTORICAL_IS!B15)</f>
        <v>0</v>
      </c>
      <c r="C16" s="37" t="n">
        <f aca="false">IF(COUNT(HISTORICAL_IS!C13,HISTORICAL_IS!C14,HISTORICAL_IS!C15)&lt;3,"N/A",HISTORICAL_IS!C13-HISTORICAL_IS!C14-HISTORICAL_IS!C15)</f>
        <v>0</v>
      </c>
      <c r="D16" s="37" t="n">
        <f aca="false">IF(COUNT(HISTORICAL_IS!D13,HISTORICAL_IS!D14,HISTORICAL_IS!D15)&lt;3,"N/A",HISTORICAL_IS!D13-HISTORICAL_IS!D14-HISTORICAL_IS!D15)</f>
        <v>0</v>
      </c>
      <c r="E16" s="37" t="n">
        <f aca="false">IF(COUNT(HISTORICAL_IS!E13,HISTORICAL_IS!E14,HISTORICAL_IS!E15)&lt;3,"N/A",HISTORICAL_IS!E13-HISTORICAL_IS!E14-HISTORICAL_IS!E15)</f>
        <v>0</v>
      </c>
      <c r="F16" s="37" t="n">
        <f aca="false">IF(COUNT(HISTORICAL_IS!F13,HISTORICAL_IS!F14,HISTORICAL_IS!F15)&lt;3,"N/A",HISTORICAL_IS!F13-HISTORICAL_IS!F14-HISTORICAL_IS!F15)</f>
        <v>0</v>
      </c>
      <c r="G16" s="37" t="n">
        <f aca="false">IF(COUNT(HISTORICAL_IS!G13,HISTORICAL_IS!G14,HISTORICAL_IS!G15)&lt;3,"N/A",HISTORICAL_IS!G13-HISTORICAL_IS!G14-HISTORICAL_IS!G15)</f>
        <v>-1</v>
      </c>
      <c r="H16" s="38" t="str">
        <f aca="false">IF(COUNTIF(B17:G17,"ERROR")&gt;0,"ERROR",IF(COUNTIF(B17:G17,"PASS")&gt;0,"PASS","N/A"))</f>
        <v>PASS</v>
      </c>
      <c r="I16" s="39" t="str">
        <f aca="false">COUNTIF(B17:G17,"PASS")+COUNTIF(B17:G17,"ERROR")&amp;" of 6"</f>
        <v>6 of 6</v>
      </c>
      <c r="J16" s="11"/>
    </row>
    <row r="17" customFormat="false" ht="15" hidden="false" customHeight="false" outlineLevel="0" collapsed="false">
      <c r="A17" s="40" t="s">
        <v>445</v>
      </c>
      <c r="B17" s="38" t="str">
        <f aca="false">IF(B16="N/A","N/A",IF(ABS(B16)&lt;=$B$3,"PASS","ERROR"))</f>
        <v>PASS</v>
      </c>
      <c r="C17" s="38" t="str">
        <f aca="false">IF(C16="N/A","N/A",IF(ABS(C16)&lt;=$B$3,"PASS","ERROR"))</f>
        <v>PASS</v>
      </c>
      <c r="D17" s="38" t="str">
        <f aca="false">IF(D16="N/A","N/A",IF(ABS(D16)&lt;=$B$3,"PASS","ERROR"))</f>
        <v>PASS</v>
      </c>
      <c r="E17" s="38" t="str">
        <f aca="false">IF(E16="N/A","N/A",IF(ABS(E16)&lt;=$B$3,"PASS","ERROR"))</f>
        <v>PASS</v>
      </c>
      <c r="F17" s="38" t="str">
        <f aca="false">IF(F16="N/A","N/A",IF(ABS(F16)&lt;=$B$3,"PASS","ERROR"))</f>
        <v>PASS</v>
      </c>
      <c r="G17" s="38" t="str">
        <f aca="false">IF(G16="N/A","N/A",IF(ABS(G16)&lt;=$B$3,"PASS","ERROR"))</f>
        <v>PASS</v>
      </c>
      <c r="H17" s="20"/>
      <c r="I17" s="20"/>
      <c r="J17" s="20"/>
    </row>
    <row r="18" customFormat="false" ht="15" hidden="false" customHeight="false" outlineLevel="0" collapsed="false">
      <c r="A18" s="14" t="s">
        <v>447</v>
      </c>
      <c r="B18" s="37" t="n">
        <f aca="false">IF(COUNT(HISTORICAL_BS!B49,HISTORICAL_BS!B50)&lt;2,"N/A",HISTORICAL_BS!B49-HISTORICAL_BS!B50)</f>
        <v>0</v>
      </c>
      <c r="C18" s="37" t="n">
        <f aca="false">IF(COUNT(HISTORICAL_BS!C49,HISTORICAL_BS!C50)&lt;2,"N/A",HISTORICAL_BS!C49-HISTORICAL_BS!C50)</f>
        <v>0</v>
      </c>
      <c r="D18" s="37" t="n">
        <f aca="false">IF(COUNT(HISTORICAL_BS!D49,HISTORICAL_BS!D50)&lt;2,"N/A",HISTORICAL_BS!D49-HISTORICAL_BS!D50)</f>
        <v>0</v>
      </c>
      <c r="E18" s="12"/>
      <c r="F18" s="37" t="n">
        <f aca="false">IF(COUNT(HISTORICAL_BS!F49,HISTORICAL_BS!F50)&lt;2,"N/A",HISTORICAL_BS!F49-HISTORICAL_BS!F50)</f>
        <v>0</v>
      </c>
      <c r="G18" s="37" t="n">
        <f aca="false">IF(COUNT(HISTORICAL_BS!G49,HISTORICAL_BS!G50)&lt;2,"N/A",HISTORICAL_BS!G49-HISTORICAL_BS!G50)</f>
        <v>0</v>
      </c>
      <c r="H18" s="38" t="str">
        <f aca="false">IF(COUNTIF(B19:G19,"ERROR")&gt;0,"ERROR",IF(COUNTIF(B19:G19,"PASS")&gt;0,"PASS","N/A"))</f>
        <v>PASS</v>
      </c>
      <c r="I18" s="39" t="str">
        <f aca="false">COUNTIF(B19:G19,"PASS")+COUNTIF(B19:G19,"ERROR")&amp;" of 5"</f>
        <v>5 of 5</v>
      </c>
      <c r="J18" s="11"/>
    </row>
    <row r="19" customFormat="false" ht="15" hidden="false" customHeight="false" outlineLevel="0" collapsed="false">
      <c r="A19" s="40" t="s">
        <v>445</v>
      </c>
      <c r="B19" s="38" t="str">
        <f aca="false">IF(B18="N/A","N/A",IF(ABS(B18)&lt;=$B$3,"PASS","ERROR"))</f>
        <v>PASS</v>
      </c>
      <c r="C19" s="38" t="str">
        <f aca="false">IF(C18="N/A","N/A",IF(ABS(C18)&lt;=$B$3,"PASS","ERROR"))</f>
        <v>PASS</v>
      </c>
      <c r="D19" s="38" t="str">
        <f aca="false">IF(D18="N/A","N/A",IF(ABS(D18)&lt;=$B$3,"PASS","ERROR"))</f>
        <v>PASS</v>
      </c>
      <c r="E19" s="12"/>
      <c r="F19" s="38" t="str">
        <f aca="false">IF(F18="N/A","N/A",IF(ABS(F18)&lt;=$B$3,"PASS","ERROR"))</f>
        <v>PASS</v>
      </c>
      <c r="G19" s="38" t="str">
        <f aca="false">IF(G18="N/A","N/A",IF(ABS(G18)&lt;=$B$3,"PASS","ERROR"))</f>
        <v>PASS</v>
      </c>
      <c r="H19" s="20"/>
      <c r="I19" s="20"/>
      <c r="J19" s="20"/>
    </row>
    <row r="20" customFormat="false" ht="15" hidden="false" customHeight="false" outlineLevel="0" collapsed="false">
      <c r="A20" s="14" t="s">
        <v>448</v>
      </c>
      <c r="B20" s="37" t="n">
        <f aca="false">IF(COUNT(HISTORICAL_CF!B57,HISTORICAL_CF!B58)&lt;2,"N/A",HISTORICAL_CF!B57-HISTORICAL_CF!B58)</f>
        <v>0</v>
      </c>
      <c r="C20" s="37" t="n">
        <f aca="false">IF(COUNT(HISTORICAL_CF!C57,HISTORICAL_CF!C58)&lt;2,"N/A",HISTORICAL_CF!C57-HISTORICAL_CF!C58)</f>
        <v>0</v>
      </c>
      <c r="D20" s="37" t="n">
        <f aca="false">IF(COUNT(HISTORICAL_CF!D57,HISTORICAL_CF!D58)&lt;2,"N/A",HISTORICAL_CF!D57-HISTORICAL_CF!D58)</f>
        <v>0</v>
      </c>
      <c r="E20" s="37" t="n">
        <f aca="false">IF(COUNT(HISTORICAL_CF!E57,HISTORICAL_CF!E58)&lt;2,"N/A",HISTORICAL_CF!E57-HISTORICAL_CF!E58)</f>
        <v>0</v>
      </c>
      <c r="F20" s="37" t="n">
        <f aca="false">IF(COUNT(HISTORICAL_CF!F57,HISTORICAL_CF!F58)&lt;2,"N/A",HISTORICAL_CF!F57-HISTORICAL_CF!F58)</f>
        <v>-1</v>
      </c>
      <c r="G20" s="37" t="n">
        <f aca="false">IF(COUNT(HISTORICAL_CF!G57,HISTORICAL_CF!G58)&lt;2,"N/A",HISTORICAL_CF!G57-HISTORICAL_CF!G58)</f>
        <v>0</v>
      </c>
      <c r="H20" s="38" t="str">
        <f aca="false">IF(COUNTIF(B21:G21,"ERROR")&gt;0,"ERROR",IF(COUNTIF(B21:G21,"PASS")&gt;0,"PASS","N/A"))</f>
        <v>PASS</v>
      </c>
      <c r="I20" s="39" t="str">
        <f aca="false">COUNTIF(B21:G21,"PASS")+COUNTIF(B21:G21,"ERROR")&amp;" of 6"</f>
        <v>6 of 6</v>
      </c>
      <c r="J20" s="11"/>
    </row>
    <row r="21" customFormat="false" ht="15" hidden="false" customHeight="false" outlineLevel="0" collapsed="false">
      <c r="A21" s="40" t="s">
        <v>445</v>
      </c>
      <c r="B21" s="38" t="str">
        <f aca="false">IF(B20="N/A","N/A",IF(ABS(B20)&lt;=$B$3,"PASS","ERROR"))</f>
        <v>PASS</v>
      </c>
      <c r="C21" s="38" t="str">
        <f aca="false">IF(C20="N/A","N/A",IF(ABS(C20)&lt;=$B$3,"PASS","ERROR"))</f>
        <v>PASS</v>
      </c>
      <c r="D21" s="38" t="str">
        <f aca="false">IF(D20="N/A","N/A",IF(ABS(D20)&lt;=$B$3,"PASS","ERROR"))</f>
        <v>PASS</v>
      </c>
      <c r="E21" s="38" t="str">
        <f aca="false">IF(E20="N/A","N/A",IF(ABS(E20)&lt;=$B$3,"PASS","ERROR"))</f>
        <v>PASS</v>
      </c>
      <c r="F21" s="38" t="str">
        <f aca="false">IF(F20="N/A","N/A",IF(ABS(F20)&lt;=$B$3,"PASS","ERROR"))</f>
        <v>PASS</v>
      </c>
      <c r="G21" s="38" t="str">
        <f aca="false">IF(G20="N/A","N/A",IF(ABS(G20)&lt;=$B$3,"PASS","ERROR"))</f>
        <v>PASS</v>
      </c>
      <c r="H21" s="20"/>
      <c r="I21" s="20"/>
      <c r="J21" s="20"/>
    </row>
    <row r="22" customFormat="false" ht="22.35" hidden="false" customHeight="false" outlineLevel="0" collapsed="false">
      <c r="A22" s="14" t="s">
        <v>449</v>
      </c>
      <c r="B22" s="37" t="n">
        <f aca="false">IF(COUNT(HISTORICAL_BS!B59,HISTORICAL_BS!B60)&lt;2,"N/A",HISTORICAL_BS!B59-HISTORICAL_BS!B60)</f>
        <v>0</v>
      </c>
      <c r="C22" s="37" t="n">
        <f aca="false">IF(COUNT(HISTORICAL_BS!C59,HISTORICAL_BS!C60)&lt;2,"N/A",HISTORICAL_BS!C59-HISTORICAL_BS!C60)</f>
        <v>0</v>
      </c>
      <c r="D22" s="37" t="n">
        <f aca="false">IF(COUNT(HISTORICAL_BS!D59,HISTORICAL_BS!D60)&lt;2,"N/A",HISTORICAL_BS!D59-HISTORICAL_BS!D60)</f>
        <v>0</v>
      </c>
      <c r="E22" s="12"/>
      <c r="F22" s="37" t="n">
        <f aca="false">IF(COUNT(HISTORICAL_BS!F59,HISTORICAL_BS!F60)&lt;2,"N/A",HISTORICAL_BS!F59-HISTORICAL_BS!F60)</f>
        <v>0</v>
      </c>
      <c r="G22" s="37" t="n">
        <f aca="false">IF(COUNT(HISTORICAL_BS!G59,HISTORICAL_BS!G60)&lt;2,"N/A",HISTORICAL_BS!G59-HISTORICAL_BS!G60)</f>
        <v>0</v>
      </c>
      <c r="H22" s="38" t="str">
        <f aca="false">IF(COUNTIF(B23:G23,"ERROR")&gt;0,"ERROR",IF(COUNTIF(B23:G23,"PASS")&gt;0,"PASS","N/A"))</f>
        <v>PASS</v>
      </c>
      <c r="I22" s="39" t="str">
        <f aca="false">COUNTIF(B23:G23,"PASS")+COUNTIF(B23:G23,"ERROR")&amp;" of 5"</f>
        <v>5 of 5</v>
      </c>
      <c r="J22" s="11" t="s">
        <v>450</v>
      </c>
    </row>
    <row r="23" customFormat="false" ht="15" hidden="false" customHeight="false" outlineLevel="0" collapsed="false">
      <c r="A23" s="40" t="s">
        <v>445</v>
      </c>
      <c r="B23" s="38" t="str">
        <f aca="false">IF(B22="N/A","N/A",IF(ABS(B22)&lt;=$B$3,"PASS","ERROR"))</f>
        <v>PASS</v>
      </c>
      <c r="C23" s="38" t="str">
        <f aca="false">IF(C22="N/A","N/A",IF(ABS(C22)&lt;=$B$3,"PASS","ERROR"))</f>
        <v>PASS</v>
      </c>
      <c r="D23" s="38" t="str">
        <f aca="false">IF(D22="N/A","N/A",IF(ABS(D22)&lt;=$B$3,"PASS","ERROR"))</f>
        <v>PASS</v>
      </c>
      <c r="E23" s="12"/>
      <c r="F23" s="38" t="str">
        <f aca="false">IF(F22="N/A","N/A",IF(ABS(F22)&lt;=$B$3,"PASS","ERROR"))</f>
        <v>PASS</v>
      </c>
      <c r="G23" s="38" t="str">
        <f aca="false">IF(G22="N/A","N/A",IF(ABS(G22)&lt;=$B$3,"PASS","ERROR"))</f>
        <v>PASS</v>
      </c>
      <c r="H23" s="20"/>
      <c r="I23" s="20"/>
      <c r="J23" s="20"/>
    </row>
    <row r="24" customFormat="false" ht="15" hidden="false" customHeight="false" outlineLevel="0" collapsed="false">
      <c r="A24" s="14" t="s">
        <v>451</v>
      </c>
      <c r="B24" s="37" t="n">
        <f aca="false">IF(COUNT(HISTORICAL_CF!B67,HISTORICAL_CF!B68)&lt;2,"N/A",HISTORICAL_CF!B67-HISTORICAL_CF!B68)</f>
        <v>0</v>
      </c>
      <c r="C24" s="37" t="n">
        <f aca="false">IF(COUNT(HISTORICAL_CF!C67,HISTORICAL_CF!C68)&lt;2,"N/A",HISTORICAL_CF!C67-HISTORICAL_CF!C68)</f>
        <v>0</v>
      </c>
      <c r="D24" s="37" t="n">
        <f aca="false">IF(COUNT(HISTORICAL_CF!D67,HISTORICAL_CF!D68)&lt;2,"N/A",HISTORICAL_CF!D67-HISTORICAL_CF!D68)</f>
        <v>0</v>
      </c>
      <c r="E24" s="37" t="n">
        <f aca="false">IF(COUNT(HISTORICAL_CF!E67,HISTORICAL_CF!E68)&lt;2,"N/A",HISTORICAL_CF!E67-HISTORICAL_CF!E68)</f>
        <v>0</v>
      </c>
      <c r="F24" s="37" t="n">
        <f aca="false">IF(COUNT(HISTORICAL_CF!F67,HISTORICAL_CF!F68)&lt;2,"N/A",HISTORICAL_CF!F67-HISTORICAL_CF!F68)</f>
        <v>0</v>
      </c>
      <c r="G24" s="37" t="n">
        <f aca="false">IF(COUNT(HISTORICAL_CF!G67,HISTORICAL_CF!G68)&lt;2,"N/A",HISTORICAL_CF!G67-HISTORICAL_CF!G68)</f>
        <v>0</v>
      </c>
      <c r="H24" s="38" t="str">
        <f aca="false">IF(COUNTIF(B25:G25,"ERROR")&gt;0,"ERROR",IF(COUNTIF(B25:G25,"PASS")&gt;0,"PASS","N/A"))</f>
        <v>PASS</v>
      </c>
      <c r="I24" s="39" t="str">
        <f aca="false">COUNTIF(B25:G25,"PASS")+COUNTIF(B25:G25,"ERROR")&amp;" of 6"</f>
        <v>6 of 6</v>
      </c>
      <c r="J24" s="11" t="s">
        <v>452</v>
      </c>
    </row>
    <row r="25" customFormat="false" ht="15" hidden="false" customHeight="false" outlineLevel="0" collapsed="false">
      <c r="A25" s="40" t="s">
        <v>445</v>
      </c>
      <c r="B25" s="38" t="str">
        <f aca="false">IF(B24="N/A","N/A",IF(ABS(B24)&lt;=$B$3,"PASS","ERROR"))</f>
        <v>PASS</v>
      </c>
      <c r="C25" s="38" t="str">
        <f aca="false">IF(C24="N/A","N/A",IF(ABS(C24)&lt;=$B$3,"PASS","ERROR"))</f>
        <v>PASS</v>
      </c>
      <c r="D25" s="38" t="str">
        <f aca="false">IF(D24="N/A","N/A",IF(ABS(D24)&lt;=$B$3,"PASS","ERROR"))</f>
        <v>PASS</v>
      </c>
      <c r="E25" s="38" t="str">
        <f aca="false">IF(E24="N/A","N/A",IF(ABS(E24)&lt;=$B$3,"PASS","ERROR"))</f>
        <v>PASS</v>
      </c>
      <c r="F25" s="38" t="str">
        <f aca="false">IF(F24="N/A","N/A",IF(ABS(F24)&lt;=$B$3,"PASS","ERROR"))</f>
        <v>PASS</v>
      </c>
      <c r="G25" s="38" t="str">
        <f aca="false">IF(G24="N/A","N/A",IF(ABS(G24)&lt;=$B$3,"PASS","ERROR"))</f>
        <v>PASS</v>
      </c>
      <c r="H25" s="20"/>
      <c r="I25" s="20"/>
      <c r="J25" s="20"/>
    </row>
    <row r="27" customFormat="false" ht="15" hidden="false" customHeight="false" outlineLevel="0" collapsed="false">
      <c r="A27" s="7" t="s">
        <v>453</v>
      </c>
      <c r="B27" s="8"/>
      <c r="C27" s="8"/>
      <c r="D27" s="8"/>
      <c r="E27" s="8"/>
      <c r="F27" s="8"/>
      <c r="G27" s="8"/>
      <c r="H27" s="8"/>
      <c r="I27" s="8"/>
      <c r="J27" s="8"/>
    </row>
    <row r="28" customFormat="false" ht="15" hidden="false" customHeight="false" outlineLevel="0" collapsed="false">
      <c r="A28" s="35" t="s">
        <v>440</v>
      </c>
      <c r="B28" s="36" t="s">
        <v>37</v>
      </c>
      <c r="C28" s="36" t="s">
        <v>38</v>
      </c>
      <c r="D28" s="36" t="s">
        <v>39</v>
      </c>
      <c r="E28" s="36" t="s">
        <v>40</v>
      </c>
      <c r="F28" s="36" t="s">
        <v>41</v>
      </c>
      <c r="G28" s="36" t="s">
        <v>42</v>
      </c>
      <c r="H28" s="36" t="s">
        <v>43</v>
      </c>
      <c r="I28" s="36" t="s">
        <v>441</v>
      </c>
      <c r="J28" s="36" t="s">
        <v>442</v>
      </c>
    </row>
    <row r="29" customFormat="false" ht="22.35" hidden="false" customHeight="false" outlineLevel="0" collapsed="false">
      <c r="A29" s="14" t="s">
        <v>454</v>
      </c>
      <c r="B29" s="37" t="n">
        <f aca="false">IF(COUNT(HISTORICAL_BS!B18,HISTORICAL_BS!B19,HISTORICAL_BS!B20,HISTORICAL_BS!B17)&lt;4,"N/A",HISTORICAL_BS!B18+HISTORICAL_BS!B19+HISTORICAL_BS!B20-HISTORICAL_BS!B17)</f>
        <v>0</v>
      </c>
      <c r="C29" s="37" t="n">
        <f aca="false">IF(COUNT(HISTORICAL_BS!C18,HISTORICAL_BS!C19,HISTORICAL_BS!C20,HISTORICAL_BS!C17)&lt;4,"N/A",HISTORICAL_BS!C18+HISTORICAL_BS!C19+HISTORICAL_BS!C20-HISTORICAL_BS!C17)</f>
        <v>0</v>
      </c>
      <c r="D29" s="37" t="n">
        <f aca="false">IF(COUNT(HISTORICAL_BS!D18,HISTORICAL_BS!D19,HISTORICAL_BS!D20,HISTORICAL_BS!D17)&lt;4,"N/A",HISTORICAL_BS!D18+HISTORICAL_BS!D19+HISTORICAL_BS!D20-HISTORICAL_BS!D17)</f>
        <v>0</v>
      </c>
      <c r="E29" s="12"/>
      <c r="F29" s="37" t="n">
        <f aca="false">IF(COUNT(HISTORICAL_BS!F18,HISTORICAL_BS!F19,HISTORICAL_BS!F20,HISTORICAL_BS!F17)&lt;4,"N/A",HISTORICAL_BS!F18+HISTORICAL_BS!F19+HISTORICAL_BS!F20-HISTORICAL_BS!F17)</f>
        <v>0</v>
      </c>
      <c r="G29" s="37" t="n">
        <f aca="false">IF(COUNT(HISTORICAL_BS!G18,HISTORICAL_BS!G19,HISTORICAL_BS!G20,HISTORICAL_BS!G17)&lt;4,"N/A",HISTORICAL_BS!G18+HISTORICAL_BS!G19+HISTORICAL_BS!G20-HISTORICAL_BS!G17)</f>
        <v>0</v>
      </c>
      <c r="H29" s="38" t="str">
        <f aca="false">IF(COUNTIF(B30:G30,"ERROR")&gt;0,"ERROR",IF(COUNTIF(B30:G30,"PASS")&gt;0,"PASS","N/A"))</f>
        <v>PASS</v>
      </c>
      <c r="I29" s="39" t="str">
        <f aca="false">COUNTIF(B30:G30,"PASS")+COUNTIF(B30:G30,"ERROR")&amp;" of 5"</f>
        <v>5 of 5</v>
      </c>
      <c r="J29" s="11" t="s">
        <v>455</v>
      </c>
    </row>
    <row r="30" customFormat="false" ht="15" hidden="false" customHeight="false" outlineLevel="0" collapsed="false">
      <c r="A30" s="40" t="s">
        <v>445</v>
      </c>
      <c r="B30" s="38" t="str">
        <f aca="false">IF(B29="N/A","N/A",IF(ABS(B29)&lt;=$B$3,"PASS","ERROR"))</f>
        <v>PASS</v>
      </c>
      <c r="C30" s="38" t="str">
        <f aca="false">IF(C29="N/A","N/A",IF(ABS(C29)&lt;=$B$3,"PASS","ERROR"))</f>
        <v>PASS</v>
      </c>
      <c r="D30" s="38" t="str">
        <f aca="false">IF(D29="N/A","N/A",IF(ABS(D29)&lt;=$B$3,"PASS","ERROR"))</f>
        <v>PASS</v>
      </c>
      <c r="E30" s="12"/>
      <c r="F30" s="38" t="str">
        <f aca="false">IF(F29="N/A","N/A",IF(ABS(F29)&lt;=$B$3,"PASS","ERROR"))</f>
        <v>PASS</v>
      </c>
      <c r="G30" s="38" t="str">
        <f aca="false">IF(G29="N/A","N/A",IF(ABS(G29)&lt;=$B$3,"PASS","ERROR"))</f>
        <v>PASS</v>
      </c>
      <c r="H30" s="20"/>
      <c r="I30" s="20"/>
      <c r="J30" s="20"/>
    </row>
    <row r="31" customFormat="false" ht="15" hidden="false" customHeight="false" outlineLevel="0" collapsed="false">
      <c r="A31" s="14" t="s">
        <v>456</v>
      </c>
      <c r="B31" s="37" t="str">
        <f aca="false">IF(COUNT(HISTORICAL_BS!B38,HISTORICAL_BS!B39)&lt;2,"N/A",HISTORICAL_BS!B38-HISTORICAL_BS!B39)</f>
        <v>N/A</v>
      </c>
      <c r="C31" s="37" t="str">
        <f aca="false">IF(COUNT(HISTORICAL_BS!C38,HISTORICAL_BS!C39)&lt;2,"N/A",HISTORICAL_BS!C38-HISTORICAL_BS!C39)</f>
        <v>N/A</v>
      </c>
      <c r="D31" s="37" t="str">
        <f aca="false">IF(COUNT(HISTORICAL_BS!D38,HISTORICAL_BS!D39)&lt;2,"N/A",HISTORICAL_BS!D38-HISTORICAL_BS!D39)</f>
        <v>N/A</v>
      </c>
      <c r="E31" s="12"/>
      <c r="F31" s="37" t="str">
        <f aca="false">IF(COUNT(HISTORICAL_BS!F38,HISTORICAL_BS!F39)&lt;2,"N/A",HISTORICAL_BS!F38-HISTORICAL_BS!F39)</f>
        <v>N/A</v>
      </c>
      <c r="G31" s="37" t="str">
        <f aca="false">IF(COUNT(HISTORICAL_BS!G38,HISTORICAL_BS!G39)&lt;2,"N/A",HISTORICAL_BS!G38-HISTORICAL_BS!G39)</f>
        <v>N/A</v>
      </c>
      <c r="H31" s="38" t="str">
        <f aca="false">IF(COUNTIF(B32:G32,"ERROR")&gt;0,"ERROR",IF(COUNTIF(B32:G32,"PASS")&gt;0,"PASS","N/A"))</f>
        <v>N/A</v>
      </c>
      <c r="I31" s="39" t="str">
        <f aca="false">COUNTIF(B32:G32,"PASS")+COUNTIF(B32:G32,"ERROR")&amp;" of 5"</f>
        <v>0 of 5</v>
      </c>
      <c r="J31" s="11"/>
    </row>
    <row r="32" customFormat="false" ht="15" hidden="false" customHeight="false" outlineLevel="0" collapsed="false">
      <c r="A32" s="40" t="s">
        <v>445</v>
      </c>
      <c r="B32" s="38" t="str">
        <f aca="false">IF(B31="N/A","N/A",IF(ABS(B31)&lt;=$B$3,"PASS","ERROR"))</f>
        <v>N/A</v>
      </c>
      <c r="C32" s="38" t="str">
        <f aca="false">IF(C31="N/A","N/A",IF(ABS(C31)&lt;=$B$3,"PASS","ERROR"))</f>
        <v>N/A</v>
      </c>
      <c r="D32" s="38" t="str">
        <f aca="false">IF(D31="N/A","N/A",IF(ABS(D31)&lt;=$B$3,"PASS","ERROR"))</f>
        <v>N/A</v>
      </c>
      <c r="E32" s="12"/>
      <c r="F32" s="38" t="str">
        <f aca="false">IF(F31="N/A","N/A",IF(ABS(F31)&lt;=$B$3,"PASS","ERROR"))</f>
        <v>N/A</v>
      </c>
      <c r="G32" s="38" t="str">
        <f aca="false">IF(G31="N/A","N/A",IF(ABS(G31)&lt;=$B$3,"PASS","ERROR"))</f>
        <v>N/A</v>
      </c>
      <c r="H32" s="20"/>
      <c r="I32" s="20"/>
      <c r="J32" s="20"/>
    </row>
    <row r="33" customFormat="false" ht="15" hidden="false" customHeight="false" outlineLevel="0" collapsed="false">
      <c r="A33" s="14" t="s">
        <v>457</v>
      </c>
      <c r="B33" s="37" t="str">
        <f aca="false">IF(COUNT(HISTORICAL_BS!B46,HISTORICAL_BS!B47)&lt;2,"N/A",HISTORICAL_BS!B46-HISTORICAL_BS!B47)</f>
        <v>N/A</v>
      </c>
      <c r="C33" s="37" t="str">
        <f aca="false">IF(COUNT(HISTORICAL_BS!C46,HISTORICAL_BS!C47)&lt;2,"N/A",HISTORICAL_BS!C46-HISTORICAL_BS!C47)</f>
        <v>N/A</v>
      </c>
      <c r="D33" s="37" t="str">
        <f aca="false">IF(COUNT(HISTORICAL_BS!D46,HISTORICAL_BS!D47)&lt;2,"N/A",HISTORICAL_BS!D46-HISTORICAL_BS!D47)</f>
        <v>N/A</v>
      </c>
      <c r="E33" s="12"/>
      <c r="F33" s="37" t="str">
        <f aca="false">IF(COUNT(HISTORICAL_BS!F46,HISTORICAL_BS!F47)&lt;2,"N/A",HISTORICAL_BS!F46-HISTORICAL_BS!F47)</f>
        <v>N/A</v>
      </c>
      <c r="G33" s="37" t="str">
        <f aca="false">IF(COUNT(HISTORICAL_BS!G46,HISTORICAL_BS!G47)&lt;2,"N/A",HISTORICAL_BS!G46-HISTORICAL_BS!G47)</f>
        <v>N/A</v>
      </c>
      <c r="H33" s="38" t="str">
        <f aca="false">IF(COUNTIF(B34:G34,"ERROR")&gt;0,"ERROR",IF(COUNTIF(B34:G34,"PASS")&gt;0,"PASS","N/A"))</f>
        <v>N/A</v>
      </c>
      <c r="I33" s="39" t="str">
        <f aca="false">COUNTIF(B34:G34,"PASS")+COUNTIF(B34:G34,"ERROR")&amp;" of 5"</f>
        <v>0 of 5</v>
      </c>
      <c r="J33" s="11"/>
    </row>
    <row r="34" customFormat="false" ht="15" hidden="false" customHeight="false" outlineLevel="0" collapsed="false">
      <c r="A34" s="40" t="s">
        <v>445</v>
      </c>
      <c r="B34" s="38" t="str">
        <f aca="false">IF(B33="N/A","N/A",IF(ABS(B33)&lt;=$B$3,"PASS","ERROR"))</f>
        <v>N/A</v>
      </c>
      <c r="C34" s="38" t="str">
        <f aca="false">IF(C33="N/A","N/A",IF(ABS(C33)&lt;=$B$3,"PASS","ERROR"))</f>
        <v>N/A</v>
      </c>
      <c r="D34" s="38" t="str">
        <f aca="false">IF(D33="N/A","N/A",IF(ABS(D33)&lt;=$B$3,"PASS","ERROR"))</f>
        <v>N/A</v>
      </c>
      <c r="E34" s="12"/>
      <c r="F34" s="38" t="str">
        <f aca="false">IF(F33="N/A","N/A",IF(ABS(F33)&lt;=$B$3,"PASS","ERROR"))</f>
        <v>N/A</v>
      </c>
      <c r="G34" s="38" t="str">
        <f aca="false">IF(G33="N/A","N/A",IF(ABS(G33)&lt;=$B$3,"PASS","ERROR"))</f>
        <v>N/A</v>
      </c>
      <c r="H34" s="20"/>
      <c r="I34" s="20"/>
      <c r="J34" s="20"/>
    </row>
    <row r="35" customFormat="false" ht="15" hidden="false" customHeight="false" outlineLevel="0" collapsed="false">
      <c r="A35" s="14" t="s">
        <v>458</v>
      </c>
      <c r="B35" s="37" t="str">
        <f aca="false">IF(COUNT(HISTORICAL_CF!B18,HISTORICAL_CF!B19)&lt;2,"N/A",HISTORICAL_CF!B18-HISTORICAL_CF!B19)</f>
        <v>N/A</v>
      </c>
      <c r="C35" s="37" t="str">
        <f aca="false">IF(COUNT(HISTORICAL_CF!C18,HISTORICAL_CF!C19)&lt;2,"N/A",HISTORICAL_CF!C18-HISTORICAL_CF!C19)</f>
        <v>N/A</v>
      </c>
      <c r="D35" s="37" t="str">
        <f aca="false">IF(COUNT(HISTORICAL_CF!D18,HISTORICAL_CF!D19)&lt;2,"N/A",HISTORICAL_CF!D18-HISTORICAL_CF!D19)</f>
        <v>N/A</v>
      </c>
      <c r="E35" s="37" t="str">
        <f aca="false">IF(COUNT(HISTORICAL_CF!E18,HISTORICAL_CF!E19)&lt;2,"N/A",HISTORICAL_CF!E18-HISTORICAL_CF!E19)</f>
        <v>N/A</v>
      </c>
      <c r="F35" s="37" t="n">
        <f aca="false">IF(COUNT(HISTORICAL_CF!F18,HISTORICAL_CF!F19)&lt;2,"N/A",HISTORICAL_CF!F18-HISTORICAL_CF!F19)</f>
        <v>0</v>
      </c>
      <c r="G35" s="37" t="n">
        <f aca="false">IF(COUNT(HISTORICAL_CF!G18,HISTORICAL_CF!G19)&lt;2,"N/A",HISTORICAL_CF!G18-HISTORICAL_CF!G19)</f>
        <v>0</v>
      </c>
      <c r="H35" s="38" t="str">
        <f aca="false">IF(COUNTIF(B36:G36,"ERROR")&gt;0,"ERROR",IF(COUNTIF(B36:G36,"PASS")&gt;0,"PASS","N/A"))</f>
        <v>PASS</v>
      </c>
      <c r="I35" s="39" t="str">
        <f aca="false">COUNTIF(B36:G36,"PASS")+COUNTIF(B36:G36,"ERROR")&amp;" of 6"</f>
        <v>2 of 6</v>
      </c>
      <c r="J35" s="11"/>
    </row>
    <row r="36" customFormat="false" ht="15" hidden="false" customHeight="false" outlineLevel="0" collapsed="false">
      <c r="A36" s="40" t="s">
        <v>445</v>
      </c>
      <c r="B36" s="38" t="str">
        <f aca="false">IF(B35="N/A","N/A",IF(ABS(B35)&lt;=$B$3,"PASS","ERROR"))</f>
        <v>N/A</v>
      </c>
      <c r="C36" s="38" t="str">
        <f aca="false">IF(C35="N/A","N/A",IF(ABS(C35)&lt;=$B$3,"PASS","ERROR"))</f>
        <v>N/A</v>
      </c>
      <c r="D36" s="38" t="str">
        <f aca="false">IF(D35="N/A","N/A",IF(ABS(D35)&lt;=$B$3,"PASS","ERROR"))</f>
        <v>N/A</v>
      </c>
      <c r="E36" s="38" t="str">
        <f aca="false">IF(E35="N/A","N/A",IF(ABS(E35)&lt;=$B$3,"PASS","ERROR"))</f>
        <v>N/A</v>
      </c>
      <c r="F36" s="38" t="str">
        <f aca="false">IF(F35="N/A","N/A",IF(ABS(F35)&lt;=$B$3,"PASS","ERROR"))</f>
        <v>PASS</v>
      </c>
      <c r="G36" s="38" t="str">
        <f aca="false">IF(G35="N/A","N/A",IF(ABS(G35)&lt;=$B$3,"PASS","ERROR"))</f>
        <v>PASS</v>
      </c>
      <c r="H36" s="20"/>
      <c r="I36" s="20"/>
      <c r="J36" s="20"/>
    </row>
    <row r="37" customFormat="false" ht="15" hidden="false" customHeight="false" outlineLevel="0" collapsed="false">
      <c r="A37" s="14" t="s">
        <v>459</v>
      </c>
      <c r="B37" s="37" t="n">
        <f aca="false">IF(COUNT(HISTORICAL_CF!B34,HISTORICAL_CF!B35,HISTORICAL_CF!B36)&lt;3,"N/A",HISTORICAL_CF!B34+HISTORICAL_CF!B35-HISTORICAL_CF!B36)</f>
        <v>0</v>
      </c>
      <c r="C37" s="37" t="n">
        <f aca="false">IF(COUNT(HISTORICAL_CF!C34,HISTORICAL_CF!C35,HISTORICAL_CF!C36)&lt;3,"N/A",HISTORICAL_CF!C34+HISTORICAL_CF!C35-HISTORICAL_CF!C36)</f>
        <v>0</v>
      </c>
      <c r="D37" s="37" t="n">
        <f aca="false">IF(COUNT(HISTORICAL_CF!D34,HISTORICAL_CF!D35,HISTORICAL_CF!D36)&lt;3,"N/A",HISTORICAL_CF!D34+HISTORICAL_CF!D35-HISTORICAL_CF!D36)</f>
        <v>0</v>
      </c>
      <c r="E37" s="37" t="n">
        <f aca="false">IF(COUNT(HISTORICAL_CF!E34,HISTORICAL_CF!E35,HISTORICAL_CF!E36)&lt;3,"N/A",HISTORICAL_CF!E34+HISTORICAL_CF!E35-HISTORICAL_CF!E36)</f>
        <v>0</v>
      </c>
      <c r="F37" s="37" t="n">
        <f aca="false">IF(COUNT(HISTORICAL_CF!F34,HISTORICAL_CF!F35,HISTORICAL_CF!F36)&lt;3,"N/A",HISTORICAL_CF!F34+HISTORICAL_CF!F35-HISTORICAL_CF!F36)</f>
        <v>0</v>
      </c>
      <c r="G37" s="37" t="n">
        <f aca="false">IF(COUNT(HISTORICAL_CF!G34,HISTORICAL_CF!G35,HISTORICAL_CF!G36)&lt;3,"N/A",HISTORICAL_CF!G34+HISTORICAL_CF!G35-HISTORICAL_CF!G36)</f>
        <v>0</v>
      </c>
      <c r="H37" s="38" t="str">
        <f aca="false">IF(COUNTIF(B38:G38,"ERROR")&gt;0,"ERROR",IF(COUNTIF(B38:G38,"PASS")&gt;0,"PASS","N/A"))</f>
        <v>PASS</v>
      </c>
      <c r="I37" s="39" t="str">
        <f aca="false">COUNTIF(B38:G38,"PASS")+COUNTIF(B38:G38,"ERROR")&amp;" of 6"</f>
        <v>6 of 6</v>
      </c>
      <c r="J37" s="11"/>
    </row>
    <row r="38" customFormat="false" ht="15" hidden="false" customHeight="false" outlineLevel="0" collapsed="false">
      <c r="A38" s="40" t="s">
        <v>445</v>
      </c>
      <c r="B38" s="38" t="str">
        <f aca="false">IF(B37="N/A","N/A",IF(ABS(B37)&lt;=$B$3,"PASS","ERROR"))</f>
        <v>PASS</v>
      </c>
      <c r="C38" s="38" t="str">
        <f aca="false">IF(C37="N/A","N/A",IF(ABS(C37)&lt;=$B$3,"PASS","ERROR"))</f>
        <v>PASS</v>
      </c>
      <c r="D38" s="38" t="str">
        <f aca="false">IF(D37="N/A","N/A",IF(ABS(D37)&lt;=$B$3,"PASS","ERROR"))</f>
        <v>PASS</v>
      </c>
      <c r="E38" s="38" t="str">
        <f aca="false">IF(E37="N/A","N/A",IF(ABS(E37)&lt;=$B$3,"PASS","ERROR"))</f>
        <v>PASS</v>
      </c>
      <c r="F38" s="38" t="str">
        <f aca="false">IF(F37="N/A","N/A",IF(ABS(F37)&lt;=$B$3,"PASS","ERROR"))</f>
        <v>PASS</v>
      </c>
      <c r="G38" s="38" t="str">
        <f aca="false">IF(G37="N/A","N/A",IF(ABS(G37)&lt;=$B$3,"PASS","ERROR"))</f>
        <v>PASS</v>
      </c>
      <c r="H38" s="20"/>
      <c r="I38" s="20"/>
      <c r="J38" s="20"/>
    </row>
    <row r="39" customFormat="false" ht="15" hidden="false" customHeight="false" outlineLevel="0" collapsed="false">
      <c r="A39" s="14" t="s">
        <v>460</v>
      </c>
      <c r="B39" s="37" t="n">
        <f aca="false">IF(COUNT(HISTORICAL_CF!B48,HISTORICAL_CF!B49,HISTORICAL_CF!B50)&lt;3,"N/A",HISTORICAL_CF!B48+HISTORICAL_CF!B49-HISTORICAL_CF!B50)</f>
        <v>0</v>
      </c>
      <c r="C39" s="37" t="n">
        <f aca="false">IF(COUNT(HISTORICAL_CF!C48,HISTORICAL_CF!C49,HISTORICAL_CF!C50)&lt;3,"N/A",HISTORICAL_CF!C48+HISTORICAL_CF!C49-HISTORICAL_CF!C50)</f>
        <v>0</v>
      </c>
      <c r="D39" s="37" t="n">
        <f aca="false">IF(COUNT(HISTORICAL_CF!D48,HISTORICAL_CF!D49,HISTORICAL_CF!D50)&lt;3,"N/A",HISTORICAL_CF!D48+HISTORICAL_CF!D49-HISTORICAL_CF!D50)</f>
        <v>0</v>
      </c>
      <c r="E39" s="37" t="n">
        <f aca="false">IF(COUNT(HISTORICAL_CF!E48,HISTORICAL_CF!E49,HISTORICAL_CF!E50)&lt;3,"N/A",HISTORICAL_CF!E48+HISTORICAL_CF!E49-HISTORICAL_CF!E50)</f>
        <v>0</v>
      </c>
      <c r="F39" s="37" t="n">
        <f aca="false">IF(COUNT(HISTORICAL_CF!F48,HISTORICAL_CF!F49,HISTORICAL_CF!F50)&lt;3,"N/A",HISTORICAL_CF!F48+HISTORICAL_CF!F49-HISTORICAL_CF!F50)</f>
        <v>0</v>
      </c>
      <c r="G39" s="37" t="n">
        <f aca="false">IF(COUNT(HISTORICAL_CF!G48,HISTORICAL_CF!G49,HISTORICAL_CF!G50)&lt;3,"N/A",HISTORICAL_CF!G48+HISTORICAL_CF!G49-HISTORICAL_CF!G50)</f>
        <v>0</v>
      </c>
      <c r="H39" s="38" t="str">
        <f aca="false">IF(COUNTIF(B40:G40,"ERROR")&gt;0,"ERROR",IF(COUNTIF(B40:G40,"PASS")&gt;0,"PASS","N/A"))</f>
        <v>PASS</v>
      </c>
      <c r="I39" s="39" t="str">
        <f aca="false">COUNTIF(B40:G40,"PASS")+COUNTIF(B40:G40,"ERROR")&amp;" of 6"</f>
        <v>6 of 6</v>
      </c>
      <c r="J39" s="11"/>
    </row>
    <row r="40" customFormat="false" ht="15" hidden="false" customHeight="false" outlineLevel="0" collapsed="false">
      <c r="A40" s="40" t="s">
        <v>445</v>
      </c>
      <c r="B40" s="38" t="str">
        <f aca="false">IF(B39="N/A","N/A",IF(ABS(B39)&lt;=$B$3,"PASS","ERROR"))</f>
        <v>PASS</v>
      </c>
      <c r="C40" s="38" t="str">
        <f aca="false">IF(C39="N/A","N/A",IF(ABS(C39)&lt;=$B$3,"PASS","ERROR"))</f>
        <v>PASS</v>
      </c>
      <c r="D40" s="38" t="str">
        <f aca="false">IF(D39="N/A","N/A",IF(ABS(D39)&lt;=$B$3,"PASS","ERROR"))</f>
        <v>PASS</v>
      </c>
      <c r="E40" s="38" t="str">
        <f aca="false">IF(E39="N/A","N/A",IF(ABS(E39)&lt;=$B$3,"PASS","ERROR"))</f>
        <v>PASS</v>
      </c>
      <c r="F40" s="38" t="str">
        <f aca="false">IF(F39="N/A","N/A",IF(ABS(F39)&lt;=$B$3,"PASS","ERROR"))</f>
        <v>PASS</v>
      </c>
      <c r="G40" s="38" t="str">
        <f aca="false">IF(G39="N/A","N/A",IF(ABS(G39)&lt;=$B$3,"PASS","ERROR"))</f>
        <v>PASS</v>
      </c>
      <c r="H40" s="20"/>
      <c r="I40" s="20"/>
      <c r="J40" s="20"/>
    </row>
    <row r="41" customFormat="false" ht="15" hidden="false" customHeight="false" outlineLevel="0" collapsed="false">
      <c r="A41" s="14" t="s">
        <v>461</v>
      </c>
      <c r="B41" s="37" t="n">
        <f aca="false">IF(COUNT(HISTORICAL_CF!B21,HISTORICAL_CF!B22)&lt;2,"N/A",HISTORICAL_CF!B21-HISTORICAL_CF!B22)</f>
        <v>0</v>
      </c>
      <c r="C41" s="37" t="n">
        <f aca="false">IF(COUNT(HISTORICAL_CF!C21,HISTORICAL_CF!C22)&lt;2,"N/A",HISTORICAL_CF!C21-HISTORICAL_CF!C22)</f>
        <v>0</v>
      </c>
      <c r="D41" s="37" t="n">
        <f aca="false">IF(COUNT(HISTORICAL_CF!D21,HISTORICAL_CF!D22)&lt;2,"N/A",HISTORICAL_CF!D21-HISTORICAL_CF!D22)</f>
        <v>0</v>
      </c>
      <c r="E41" s="37" t="str">
        <f aca="false">IF(COUNT(HISTORICAL_CF!E21,HISTORICAL_CF!E22)&lt;2,"N/A",HISTORICAL_CF!E21-HISTORICAL_CF!E22)</f>
        <v>N/A</v>
      </c>
      <c r="F41" s="37" t="n">
        <f aca="false">IF(COUNT(HISTORICAL_CF!F21,HISTORICAL_CF!F22)&lt;2,"N/A",HISTORICAL_CF!F21-HISTORICAL_CF!F22)</f>
        <v>0</v>
      </c>
      <c r="G41" s="37" t="n">
        <f aca="false">IF(COUNT(HISTORICAL_CF!G21,HISTORICAL_CF!G22)&lt;2,"N/A",HISTORICAL_CF!G21-HISTORICAL_CF!G22)</f>
        <v>0</v>
      </c>
      <c r="H41" s="38" t="str">
        <f aca="false">IF(COUNTIF(B42:G42,"ERROR")&gt;0,"ERROR",IF(COUNTIF(B42:G42,"PASS")&gt;0,"PASS","N/A"))</f>
        <v>PASS</v>
      </c>
      <c r="I41" s="39" t="str">
        <f aca="false">COUNTIF(B42:G42,"PASS")+COUNTIF(B42:G42,"ERROR")&amp;" of 6"</f>
        <v>5 of 6</v>
      </c>
      <c r="J41" s="11" t="s">
        <v>462</v>
      </c>
    </row>
    <row r="42" customFormat="false" ht="15" hidden="false" customHeight="false" outlineLevel="0" collapsed="false">
      <c r="A42" s="40" t="s">
        <v>445</v>
      </c>
      <c r="B42" s="38" t="str">
        <f aca="false">IF(B41="N/A","N/A",IF(ABS(B41)&lt;=$B$3,"PASS","ERROR"))</f>
        <v>PASS</v>
      </c>
      <c r="C42" s="38" t="str">
        <f aca="false">IF(C41="N/A","N/A",IF(ABS(C41)&lt;=$B$3,"PASS","ERROR"))</f>
        <v>PASS</v>
      </c>
      <c r="D42" s="38" t="str">
        <f aca="false">IF(D41="N/A","N/A",IF(ABS(D41)&lt;=$B$3,"PASS","ERROR"))</f>
        <v>PASS</v>
      </c>
      <c r="E42" s="38" t="str">
        <f aca="false">IF(E41="N/A","N/A",IF(ABS(E41)&lt;=$B$3,"PASS","ERROR"))</f>
        <v>N/A</v>
      </c>
      <c r="F42" s="38" t="str">
        <f aca="false">IF(F41="N/A","N/A",IF(ABS(F41)&lt;=$B$3,"PASS","ERROR"))</f>
        <v>PASS</v>
      </c>
      <c r="G42" s="38" t="str">
        <f aca="false">IF(G41="N/A","N/A",IF(ABS(G41)&lt;=$B$3,"PASS","ERROR"))</f>
        <v>PASS</v>
      </c>
      <c r="H42" s="20"/>
      <c r="I42" s="20"/>
      <c r="J42" s="20"/>
    </row>
    <row r="43" customFormat="false" ht="15" hidden="false" customHeight="false" outlineLevel="0" collapsed="false">
      <c r="A43" s="14" t="s">
        <v>463</v>
      </c>
      <c r="B43" s="37" t="str">
        <f aca="false">IF(COUNT(HISTORICAL_CF!B33,HISTORICAL_CF!B34)&lt;2,"N/A",HISTORICAL_CF!B33-HISTORICAL_CF!B34)</f>
        <v>N/A</v>
      </c>
      <c r="C43" s="37" t="str">
        <f aca="false">IF(COUNT(HISTORICAL_CF!C33,HISTORICAL_CF!C34)&lt;2,"N/A",HISTORICAL_CF!C33-HISTORICAL_CF!C34)</f>
        <v>N/A</v>
      </c>
      <c r="D43" s="37" t="str">
        <f aca="false">IF(COUNT(HISTORICAL_CF!D33,HISTORICAL_CF!D34)&lt;2,"N/A",HISTORICAL_CF!D33-HISTORICAL_CF!D34)</f>
        <v>N/A</v>
      </c>
      <c r="E43" s="37" t="str">
        <f aca="false">IF(COUNT(HISTORICAL_CF!E33,HISTORICAL_CF!E34)&lt;2,"N/A",HISTORICAL_CF!E33-HISTORICAL_CF!E34)</f>
        <v>N/A</v>
      </c>
      <c r="F43" s="37" t="n">
        <f aca="false">IF(COUNT(HISTORICAL_CF!F33,HISTORICAL_CF!F34)&lt;2,"N/A",HISTORICAL_CF!F33-HISTORICAL_CF!F34)</f>
        <v>0</v>
      </c>
      <c r="G43" s="37" t="n">
        <f aca="false">IF(COUNT(HISTORICAL_CF!G33,HISTORICAL_CF!G34)&lt;2,"N/A",HISTORICAL_CF!G33-HISTORICAL_CF!G34)</f>
        <v>0</v>
      </c>
      <c r="H43" s="38" t="str">
        <f aca="false">IF(COUNTIF(B44:G44,"ERROR")&gt;0,"ERROR",IF(COUNTIF(B44:G44,"PASS")&gt;0,"PASS","N/A"))</f>
        <v>PASS</v>
      </c>
      <c r="I43" s="39" t="str">
        <f aca="false">COUNTIF(B44:G44,"PASS")+COUNTIF(B44:G44,"ERROR")&amp;" of 6"</f>
        <v>2 of 6</v>
      </c>
      <c r="J43" s="11" t="s">
        <v>464</v>
      </c>
    </row>
    <row r="44" customFormat="false" ht="15" hidden="false" customHeight="false" outlineLevel="0" collapsed="false">
      <c r="A44" s="40" t="s">
        <v>445</v>
      </c>
      <c r="B44" s="38" t="str">
        <f aca="false">IF(B43="N/A","N/A",IF(ABS(B43)&lt;=$B$3,"PASS","ERROR"))</f>
        <v>N/A</v>
      </c>
      <c r="C44" s="38" t="str">
        <f aca="false">IF(C43="N/A","N/A",IF(ABS(C43)&lt;=$B$3,"PASS","ERROR"))</f>
        <v>N/A</v>
      </c>
      <c r="D44" s="38" t="str">
        <f aca="false">IF(D43="N/A","N/A",IF(ABS(D43)&lt;=$B$3,"PASS","ERROR"))</f>
        <v>N/A</v>
      </c>
      <c r="E44" s="38" t="str">
        <f aca="false">IF(E43="N/A","N/A",IF(ABS(E43)&lt;=$B$3,"PASS","ERROR"))</f>
        <v>N/A</v>
      </c>
      <c r="F44" s="38" t="str">
        <f aca="false">IF(F43="N/A","N/A",IF(ABS(F43)&lt;=$B$3,"PASS","ERROR"))</f>
        <v>PASS</v>
      </c>
      <c r="G44" s="38" t="str">
        <f aca="false">IF(G43="N/A","N/A",IF(ABS(G43)&lt;=$B$3,"PASS","ERROR"))</f>
        <v>PASS</v>
      </c>
      <c r="H44" s="20"/>
      <c r="I44" s="20"/>
      <c r="J44" s="20"/>
    </row>
    <row r="45" customFormat="false" ht="15" hidden="false" customHeight="false" outlineLevel="0" collapsed="false">
      <c r="A45" s="14" t="s">
        <v>465</v>
      </c>
      <c r="B45" s="37" t="str">
        <f aca="false">IF(COUNT(HISTORICAL_CF!B47,HISTORICAL_CF!B48)&lt;2,"N/A",HISTORICAL_CF!B47-HISTORICAL_CF!B48)</f>
        <v>N/A</v>
      </c>
      <c r="C45" s="37" t="str">
        <f aca="false">IF(COUNT(HISTORICAL_CF!C47,HISTORICAL_CF!C48)&lt;2,"N/A",HISTORICAL_CF!C47-HISTORICAL_CF!C48)</f>
        <v>N/A</v>
      </c>
      <c r="D45" s="37" t="str">
        <f aca="false">IF(COUNT(HISTORICAL_CF!D47,HISTORICAL_CF!D48)&lt;2,"N/A",HISTORICAL_CF!D47-HISTORICAL_CF!D48)</f>
        <v>N/A</v>
      </c>
      <c r="E45" s="37" t="str">
        <f aca="false">IF(COUNT(HISTORICAL_CF!E47,HISTORICAL_CF!E48)&lt;2,"N/A",HISTORICAL_CF!E47-HISTORICAL_CF!E48)</f>
        <v>N/A</v>
      </c>
      <c r="F45" s="37" t="n">
        <f aca="false">IF(COUNT(HISTORICAL_CF!F47,HISTORICAL_CF!F48)&lt;2,"N/A",HISTORICAL_CF!F47-HISTORICAL_CF!F48)</f>
        <v>0</v>
      </c>
      <c r="G45" s="37" t="n">
        <f aca="false">IF(COUNT(HISTORICAL_CF!G47,HISTORICAL_CF!G48)&lt;2,"N/A",HISTORICAL_CF!G47-HISTORICAL_CF!G48)</f>
        <v>0</v>
      </c>
      <c r="H45" s="38" t="str">
        <f aca="false">IF(COUNTIF(B46:G46,"ERROR")&gt;0,"ERROR",IF(COUNTIF(B46:G46,"PASS")&gt;0,"PASS","N/A"))</f>
        <v>PASS</v>
      </c>
      <c r="I45" s="39" t="str">
        <f aca="false">COUNTIF(B46:G46,"PASS")+COUNTIF(B46:G46,"ERROR")&amp;" of 6"</f>
        <v>2 of 6</v>
      </c>
      <c r="J45" s="11" t="s">
        <v>464</v>
      </c>
    </row>
    <row r="46" customFormat="false" ht="15" hidden="false" customHeight="false" outlineLevel="0" collapsed="false">
      <c r="A46" s="40" t="s">
        <v>445</v>
      </c>
      <c r="B46" s="38" t="str">
        <f aca="false">IF(B45="N/A","N/A",IF(ABS(B45)&lt;=$B$3,"PASS","ERROR"))</f>
        <v>N/A</v>
      </c>
      <c r="C46" s="38" t="str">
        <f aca="false">IF(C45="N/A","N/A",IF(ABS(C45)&lt;=$B$3,"PASS","ERROR"))</f>
        <v>N/A</v>
      </c>
      <c r="D46" s="38" t="str">
        <f aca="false">IF(D45="N/A","N/A",IF(ABS(D45)&lt;=$B$3,"PASS","ERROR"))</f>
        <v>N/A</v>
      </c>
      <c r="E46" s="38" t="str">
        <f aca="false">IF(E45="N/A","N/A",IF(ABS(E45)&lt;=$B$3,"PASS","ERROR"))</f>
        <v>N/A</v>
      </c>
      <c r="F46" s="38" t="str">
        <f aca="false">IF(F45="N/A","N/A",IF(ABS(F45)&lt;=$B$3,"PASS","ERROR"))</f>
        <v>PASS</v>
      </c>
      <c r="G46" s="38" t="str">
        <f aca="false">IF(G45="N/A","N/A",IF(ABS(G45)&lt;=$B$3,"PASS","ERROR"))</f>
        <v>PASS</v>
      </c>
      <c r="H46" s="20"/>
      <c r="I46" s="20"/>
      <c r="J46" s="2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2"/>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62"/>
    <col collapsed="false" customWidth="true" hidden="false" outlineLevel="0" max="10" min="10" style="0" width="34"/>
    <col collapsed="false" customWidth="true" hidden="false" outlineLevel="0" max="16" min="11" style="0" width="8"/>
  </cols>
  <sheetData>
    <row r="1" customFormat="false" ht="16.15" hidden="false" customHeight="false" outlineLevel="0" collapsed="false">
      <c r="A1" s="1" t="s">
        <v>466</v>
      </c>
    </row>
    <row r="2" customFormat="false" ht="15" hidden="false" customHeight="false" outlineLevel="0" collapsed="false">
      <c r="A2" s="5" t="s">
        <v>467</v>
      </c>
    </row>
    <row r="3" customFormat="false" ht="15" hidden="false" customHeight="false" outlineLevel="0" collapsed="false">
      <c r="A3" s="22" t="s">
        <v>468</v>
      </c>
      <c r="B3" s="34" t="str">
        <f aca="false">HISTORICAL_CHECKS!$B$10</f>
        <v>COMPLETE — all core checks PASS</v>
      </c>
    </row>
    <row r="4" customFormat="false" ht="15" hidden="false" customHeight="false" outlineLevel="0" collapsed="false">
      <c r="J4" s="41" t="s">
        <v>469</v>
      </c>
    </row>
    <row r="5" customFormat="false" ht="23.85" hidden="false" customHeight="false" outlineLevel="0" collapsed="false">
      <c r="A5" s="15" t="s">
        <v>470</v>
      </c>
      <c r="B5" s="16" t="s">
        <v>37</v>
      </c>
      <c r="C5" s="16" t="s">
        <v>38</v>
      </c>
      <c r="D5" s="16" t="s">
        <v>39</v>
      </c>
      <c r="E5" s="16" t="s">
        <v>40</v>
      </c>
      <c r="F5" s="16" t="s">
        <v>41</v>
      </c>
      <c r="G5" s="16" t="s">
        <v>42</v>
      </c>
      <c r="H5" s="16" t="s">
        <v>45</v>
      </c>
      <c r="K5" s="22" t="s">
        <v>37</v>
      </c>
      <c r="L5" s="22" t="s">
        <v>38</v>
      </c>
      <c r="M5" s="22" t="s">
        <v>471</v>
      </c>
      <c r="N5" s="22" t="s">
        <v>472</v>
      </c>
      <c r="O5" s="22" t="s">
        <v>41</v>
      </c>
      <c r="P5" s="22" t="s">
        <v>42</v>
      </c>
    </row>
    <row r="6" customFormat="false" ht="15" hidden="false" customHeight="false" outlineLevel="0" collapsed="false">
      <c r="A6" s="7" t="s">
        <v>473</v>
      </c>
      <c r="B6" s="8"/>
      <c r="C6" s="8"/>
      <c r="D6" s="8"/>
      <c r="E6" s="8"/>
      <c r="F6" s="8"/>
      <c r="G6" s="8"/>
      <c r="H6" s="8"/>
      <c r="J6" s="32" t="s">
        <v>474</v>
      </c>
      <c r="K6" s="42" t="n">
        <f aca="false">IFERROR(HISTORICAL_IS!B6/1000,"")</f>
        <v>52.444</v>
      </c>
      <c r="L6" s="42" t="n">
        <f aca="false">IFERROR(HISTORICAL_IS!C6/1000,"")</f>
        <v>60.073</v>
      </c>
      <c r="M6" s="42" t="n">
        <f aca="false">IFERROR(HISTORICAL_IS!D6/1000,"")</f>
        <v>59.604</v>
      </c>
    </row>
    <row r="7" customFormat="false" ht="15" hidden="false" customHeight="false" outlineLevel="0" collapsed="false">
      <c r="A7" s="14" t="s">
        <v>475</v>
      </c>
      <c r="B7" s="27" t="n">
        <f aca="false">HISTORICAL_IS!B6</f>
        <v>52444</v>
      </c>
      <c r="C7" s="27" t="n">
        <f aca="false">HISTORICAL_IS!C6</f>
        <v>60073</v>
      </c>
      <c r="D7" s="27" t="n">
        <f aca="false">HISTORICAL_IS!D6</f>
        <v>59604</v>
      </c>
      <c r="E7" s="27" t="n">
        <f aca="false">HISTORICAL_IS!E6</f>
        <v>51680</v>
      </c>
      <c r="F7" s="27" t="n">
        <f aca="false">HISTORICAL_IS!F6</f>
        <v>52479</v>
      </c>
      <c r="G7" s="27" t="n">
        <f aca="false">HISTORICAL_IS!G6</f>
        <v>50503</v>
      </c>
      <c r="H7" s="11"/>
      <c r="J7" s="32" t="s">
        <v>476</v>
      </c>
      <c r="N7" s="42" t="n">
        <f aca="false">IFERROR(HISTORICAL_IS!E6/1000,"")</f>
        <v>51.68</v>
      </c>
      <c r="O7" s="42" t="n">
        <f aca="false">IFERROR(HISTORICAL_IS!F6/1000,"")</f>
        <v>52.479</v>
      </c>
      <c r="P7" s="42" t="n">
        <f aca="false">IFERROR(HISTORICAL_IS!G6/1000,"")</f>
        <v>50.503</v>
      </c>
    </row>
    <row r="8" customFormat="false" ht="15" hidden="false" customHeight="false" outlineLevel="0" collapsed="false">
      <c r="A8" s="9" t="s">
        <v>274</v>
      </c>
      <c r="B8" s="20"/>
      <c r="C8" s="21" t="n">
        <f aca="false">HISTORICAL_IS!C19</f>
        <v>0.145469453130959</v>
      </c>
      <c r="D8" s="21" t="n">
        <f aca="false">HISTORICAL_IS!D19</f>
        <v>-0.00780716794566616</v>
      </c>
      <c r="E8" s="20"/>
      <c r="F8" s="21" t="n">
        <f aca="false">HISTORICAL_IS!F19</f>
        <v>0.0154605263157894</v>
      </c>
      <c r="G8" s="21" t="n">
        <f aca="false">HISTORICAL_IS!G19</f>
        <v>-0.0376531565006956</v>
      </c>
      <c r="H8" s="11"/>
      <c r="J8" s="32" t="s">
        <v>477</v>
      </c>
      <c r="K8" s="42" t="n">
        <f aca="false">IFERROR(HISTORICAL_IS!B8/1000,"")</f>
        <v>8.702</v>
      </c>
      <c r="L8" s="42" t="n">
        <f aca="false">IFERROR(HISTORICAL_IS!C8/1000,"")</f>
        <v>10.755</v>
      </c>
      <c r="M8" s="42" t="n">
        <f aca="false">IFERROR(HISTORICAL_IS!D8/1000,"")</f>
        <v>9.758</v>
      </c>
    </row>
    <row r="9" customFormat="false" ht="15" hidden="false" customHeight="false" outlineLevel="0" collapsed="false">
      <c r="A9" s="9" t="s">
        <v>54</v>
      </c>
      <c r="B9" s="19" t="n">
        <f aca="false">HISTORICAL_IS!B8</f>
        <v>8702</v>
      </c>
      <c r="C9" s="19" t="n">
        <f aca="false">HISTORICAL_IS!C8</f>
        <v>10755</v>
      </c>
      <c r="D9" s="19" t="n">
        <f aca="false">HISTORICAL_IS!D8</f>
        <v>9758</v>
      </c>
      <c r="E9" s="19" t="n">
        <f aca="false">HISTORICAL_IS!E8</f>
        <v>8998</v>
      </c>
      <c r="F9" s="19" t="n">
        <f aca="false">HISTORICAL_IS!F8</f>
        <v>8829</v>
      </c>
      <c r="G9" s="19" t="n">
        <f aca="false">HISTORICAL_IS!G8</f>
        <v>9037</v>
      </c>
      <c r="H9" s="11"/>
      <c r="J9" s="32" t="s">
        <v>478</v>
      </c>
      <c r="N9" s="42" t="n">
        <f aca="false">IFERROR(HISTORICAL_IS!E8/1000,"")</f>
        <v>8.998</v>
      </c>
      <c r="O9" s="42" t="n">
        <f aca="false">IFERROR(HISTORICAL_IS!F8/1000,"")</f>
        <v>8.829</v>
      </c>
      <c r="P9" s="42" t="n">
        <f aca="false">IFERROR(HISTORICAL_IS!G8/1000,"")</f>
        <v>9.037</v>
      </c>
    </row>
    <row r="10" customFormat="false" ht="15" hidden="false" customHeight="false" outlineLevel="0" collapsed="false">
      <c r="A10" s="9" t="s">
        <v>276</v>
      </c>
      <c r="B10" s="21" t="n">
        <f aca="false">HISTORICAL_IS!B20</f>
        <v>0.165929372282816</v>
      </c>
      <c r="C10" s="21" t="n">
        <f aca="false">HISTORICAL_IS!C20</f>
        <v>0.179032177517354</v>
      </c>
      <c r="D10" s="21" t="n">
        <f aca="false">HISTORICAL_IS!D20</f>
        <v>0.163713844708409</v>
      </c>
      <c r="E10" s="21" t="n">
        <f aca="false">HISTORICAL_IS!E20</f>
        <v>0.174109907120743</v>
      </c>
      <c r="F10" s="21" t="n">
        <f aca="false">HISTORICAL_IS!F20</f>
        <v>0.168238724061053</v>
      </c>
      <c r="G10" s="21" t="n">
        <f aca="false">HISTORICAL_IS!G20</f>
        <v>0.178939864958517</v>
      </c>
      <c r="H10" s="11"/>
      <c r="J10" s="32" t="s">
        <v>479</v>
      </c>
      <c r="K10" s="42" t="n">
        <f aca="false">IFERROR(HISTORICAL_CF!B19/1000,"")</f>
        <v>10.305</v>
      </c>
      <c r="L10" s="42" t="n">
        <f aca="false">IFERROR(HISTORICAL_CF!C19/1000,"")</f>
        <v>10.089</v>
      </c>
      <c r="M10" s="42" t="n">
        <f aca="false">IFERROR(HISTORICAL_CF!D19/1000,"")</f>
        <v>11.561</v>
      </c>
    </row>
    <row r="11" customFormat="false" ht="15" hidden="false" customHeight="false" outlineLevel="0" collapsed="false">
      <c r="A11" s="9" t="s">
        <v>73</v>
      </c>
      <c r="B11" s="19" t="n">
        <f aca="false">HISTORICAL_IS!B15</f>
        <v>6621</v>
      </c>
      <c r="C11" s="19" t="n">
        <f aca="false">HISTORICAL_IS!C15</f>
        <v>8269</v>
      </c>
      <c r="D11" s="19" t="n">
        <f aca="false">HISTORICAL_IS!D15</f>
        <v>7140</v>
      </c>
      <c r="E11" s="19" t="n">
        <f aca="false">HISTORICAL_IS!E15</f>
        <v>6637</v>
      </c>
      <c r="F11" s="19" t="n">
        <f aca="false">HISTORICAL_IS!F15</f>
        <v>6039</v>
      </c>
      <c r="G11" s="19" t="n">
        <f aca="false">HISTORICAL_IS!G15</f>
        <v>6213</v>
      </c>
      <c r="H11" s="11" t="s">
        <v>480</v>
      </c>
      <c r="J11" s="32" t="s">
        <v>481</v>
      </c>
      <c r="N11" s="42" t="n">
        <f aca="false">IFERROR(HISTORICAL_CF!E19/1000,"")</f>
        <v>10.326</v>
      </c>
      <c r="O11" s="42" t="n">
        <f aca="false">IFERROR(HISTORICAL_CF!F19/1000,"")</f>
        <v>10.913</v>
      </c>
      <c r="P11" s="42" t="n">
        <f aca="false">IFERROR(HISTORICAL_CF!G19/1000,"")</f>
        <v>10.772</v>
      </c>
    </row>
    <row r="12" customFormat="false" ht="15" hidden="false" customHeight="false" outlineLevel="0" collapsed="false">
      <c r="A12" s="9" t="s">
        <v>277</v>
      </c>
      <c r="B12" s="21" t="n">
        <f aca="false">HISTORICAL_IS!B21</f>
        <v>0.126248951262299</v>
      </c>
      <c r="C12" s="21" t="n">
        <f aca="false">HISTORICAL_IS!C21</f>
        <v>0.137649193481264</v>
      </c>
      <c r="D12" s="21" t="n">
        <f aca="false">HISTORICAL_IS!D21</f>
        <v>0.119790618079324</v>
      </c>
      <c r="E12" s="21" t="n">
        <f aca="false">HISTORICAL_IS!E21</f>
        <v>0.128424922600619</v>
      </c>
      <c r="F12" s="21" t="n">
        <f aca="false">HISTORICAL_IS!F21</f>
        <v>0.115074601269079</v>
      </c>
      <c r="G12" s="21" t="n">
        <f aca="false">HISTORICAL_IS!G21</f>
        <v>0.123022394709225</v>
      </c>
      <c r="H12" s="11"/>
      <c r="J12" s="32" t="s">
        <v>482</v>
      </c>
      <c r="K12" s="42" t="n">
        <f aca="false">IFERROR(HISTORICAL_CF!B57/1000,"")</f>
        <v>6.393</v>
      </c>
      <c r="L12" s="42" t="n">
        <f aca="false">IFERROR(HISTORICAL_CF!C57/1000,"")</f>
        <v>5.198</v>
      </c>
      <c r="M12" s="42" t="n">
        <f aca="false">IFERROR(HISTORICAL_CF!D57/1000,"")</f>
        <v>7.091</v>
      </c>
    </row>
    <row r="13" customFormat="false" ht="15" hidden="false" customHeight="false" outlineLevel="0" collapsed="false">
      <c r="J13" s="32" t="s">
        <v>483</v>
      </c>
      <c r="N13" s="42" t="n">
        <f aca="false">IFERROR(HISTORICAL_CF!E57/1000,"")</f>
        <v>6.445</v>
      </c>
      <c r="O13" s="42" t="n">
        <f aca="false">IFERROR(HISTORICAL_CF!F57/1000,"")</f>
        <v>6.303</v>
      </c>
      <c r="P13" s="42" t="n">
        <f aca="false">IFERROR(HISTORICAL_CF!G57/1000,"")</f>
        <v>5.921</v>
      </c>
    </row>
    <row r="14" customFormat="false" ht="15" hidden="false" customHeight="false" outlineLevel="0" collapsed="false">
      <c r="A14" s="7" t="s">
        <v>484</v>
      </c>
      <c r="B14" s="8"/>
      <c r="C14" s="8"/>
      <c r="D14" s="8"/>
      <c r="E14" s="8"/>
      <c r="F14" s="8"/>
      <c r="G14" s="8"/>
      <c r="H14" s="8"/>
    </row>
    <row r="15" customFormat="false" ht="15" hidden="false" customHeight="false" outlineLevel="0" collapsed="false">
      <c r="A15" s="9" t="s">
        <v>485</v>
      </c>
      <c r="B15" s="19" t="n">
        <f aca="false">HISTORICAL_BS!B12</f>
        <v>3415</v>
      </c>
      <c r="C15" s="19" t="n">
        <f aca="false">HISTORICAL_BS!C12</f>
        <v>4326</v>
      </c>
      <c r="D15" s="19" t="n">
        <f aca="false">HISTORICAL_BS!D12</f>
        <v>4159</v>
      </c>
      <c r="E15" s="12"/>
      <c r="F15" s="19" t="n">
        <f aca="false">HISTORICAL_BS!F12</f>
        <v>6136</v>
      </c>
      <c r="G15" s="19" t="n">
        <f aca="false">HISTORICAL_BS!G12</f>
        <v>3941</v>
      </c>
      <c r="H15" s="11"/>
      <c r="K15" s="22" t="s">
        <v>37</v>
      </c>
      <c r="L15" s="22" t="s">
        <v>38</v>
      </c>
      <c r="M15" s="22" t="s">
        <v>486</v>
      </c>
      <c r="N15" s="22" t="s">
        <v>41</v>
      </c>
      <c r="O15" s="22" t="s">
        <v>42</v>
      </c>
    </row>
    <row r="16" customFormat="false" ht="15" hidden="false" customHeight="false" outlineLevel="0" collapsed="false">
      <c r="A16" s="9" t="s">
        <v>487</v>
      </c>
      <c r="B16" s="19" t="n">
        <f aca="false">HISTORICAL_BS!B13</f>
        <v>1156</v>
      </c>
      <c r="C16" s="19" t="n">
        <f aca="false">HISTORICAL_BS!C13</f>
        <v>1435</v>
      </c>
      <c r="D16" s="19" t="n">
        <f aca="false">HISTORICAL_BS!D13</f>
        <v>1731</v>
      </c>
      <c r="E16" s="12"/>
      <c r="F16" s="19" t="n">
        <f aca="false">HISTORICAL_BS!F13</f>
        <v>1330</v>
      </c>
      <c r="G16" s="19" t="n">
        <f aca="false">HISTORICAL_BS!G13</f>
        <v>1121</v>
      </c>
      <c r="H16" s="11"/>
      <c r="J16" s="32" t="s">
        <v>485</v>
      </c>
      <c r="K16" s="42" t="n">
        <f aca="false">IFERROR(HISTORICAL_BS!B12/1000,"")</f>
        <v>3.415</v>
      </c>
      <c r="L16" s="42" t="n">
        <f aca="false">IFERROR(HISTORICAL_BS!C12/1000,"")</f>
        <v>4.326</v>
      </c>
      <c r="M16" s="42" t="n">
        <f aca="false">IFERROR(HISTORICAL_BS!D12/1000,"")</f>
        <v>4.159</v>
      </c>
      <c r="N16" s="42" t="n">
        <f aca="false">IFERROR(HISTORICAL_BS!F12/1000,"")</f>
        <v>6.136</v>
      </c>
      <c r="O16" s="42" t="n">
        <f aca="false">IFERROR(HISTORICAL_BS!G12/1000,"")</f>
        <v>3.941</v>
      </c>
    </row>
    <row r="17" customFormat="false" ht="15" hidden="false" customHeight="false" outlineLevel="0" collapsed="false">
      <c r="A17" s="14" t="s">
        <v>290</v>
      </c>
      <c r="B17" s="27" t="n">
        <f aca="false">HISTORICAL_BS!B14</f>
        <v>4571</v>
      </c>
      <c r="C17" s="27" t="n">
        <f aca="false">HISTORICAL_BS!C14</f>
        <v>5761</v>
      </c>
      <c r="D17" s="27" t="n">
        <f aca="false">HISTORICAL_BS!D14</f>
        <v>5890</v>
      </c>
      <c r="E17" s="12"/>
      <c r="F17" s="27" t="n">
        <f aca="false">HISTORICAL_BS!F14</f>
        <v>7466</v>
      </c>
      <c r="G17" s="27" t="n">
        <f aca="false">HISTORICAL_BS!G14</f>
        <v>5062</v>
      </c>
      <c r="H17" s="11"/>
      <c r="J17" s="32" t="s">
        <v>111</v>
      </c>
      <c r="K17" s="42" t="n">
        <f aca="false">IFERROR(HISTORICAL_BS!B60/1000,"")</f>
        <v>25.51</v>
      </c>
      <c r="L17" s="42" t="n">
        <f aca="false">IFERROR(HISTORICAL_BS!C60/1000,"")</f>
        <v>23.676</v>
      </c>
      <c r="M17" s="42" t="n">
        <f aca="false">IFERROR(HISTORICAL_BS!D60/1000,"")</f>
        <v>23.657</v>
      </c>
      <c r="N17" s="42" t="n">
        <f aca="false">IFERROR(HISTORICAL_BS!F60/1000,"")</f>
        <v>24.519</v>
      </c>
      <c r="O17" s="42" t="n">
        <f aca="false">IFERROR(HISTORICAL_BS!G60/1000,"")</f>
        <v>23.076</v>
      </c>
    </row>
    <row r="18" customFormat="false" ht="15" hidden="false" customHeight="false" outlineLevel="0" collapsed="false">
      <c r="A18" s="14" t="s">
        <v>111</v>
      </c>
      <c r="B18" s="27" t="n">
        <f aca="false">HISTORICAL_BS!B60</f>
        <v>25510</v>
      </c>
      <c r="C18" s="27" t="n">
        <f aca="false">HISTORICAL_BS!C60</f>
        <v>23676</v>
      </c>
      <c r="D18" s="27" t="n">
        <f aca="false">HISTORICAL_BS!D60</f>
        <v>23657</v>
      </c>
      <c r="E18" s="12"/>
      <c r="F18" s="27" t="n">
        <f aca="false">HISTORICAL_BS!F60</f>
        <v>24519</v>
      </c>
      <c r="G18" s="27" t="n">
        <f aca="false">HISTORICAL_BS!G60</f>
        <v>23076</v>
      </c>
      <c r="H18" s="11"/>
    </row>
    <row r="20" customFormat="false" ht="15" hidden="false" customHeight="false" outlineLevel="0" collapsed="false">
      <c r="A20" s="7" t="s">
        <v>488</v>
      </c>
      <c r="B20" s="8"/>
      <c r="C20" s="8"/>
      <c r="D20" s="8"/>
      <c r="E20" s="8"/>
      <c r="F20" s="8"/>
      <c r="G20" s="8"/>
      <c r="H20" s="8"/>
    </row>
    <row r="21" customFormat="false" ht="15" hidden="false" customHeight="false" outlineLevel="0" collapsed="false">
      <c r="A21" s="14" t="s">
        <v>489</v>
      </c>
      <c r="B21" s="27" t="n">
        <f aca="false">HISTORICAL_CF!B19</f>
        <v>10305</v>
      </c>
      <c r="C21" s="27" t="n">
        <f aca="false">HISTORICAL_CF!C19</f>
        <v>10089</v>
      </c>
      <c r="D21" s="27" t="n">
        <f aca="false">HISTORICAL_CF!D19</f>
        <v>11561</v>
      </c>
      <c r="E21" s="27" t="n">
        <f aca="false">HISTORICAL_CF!E19</f>
        <v>10326</v>
      </c>
      <c r="F21" s="27" t="n">
        <f aca="false">HISTORICAL_CF!F19</f>
        <v>10913</v>
      </c>
      <c r="G21" s="27" t="n">
        <f aca="false">HISTORICAL_CF!G19</f>
        <v>10772</v>
      </c>
      <c r="H21" s="11"/>
    </row>
    <row r="22" customFormat="false" ht="15" hidden="false" customHeight="false" outlineLevel="0" collapsed="false">
      <c r="A22" s="14" t="s">
        <v>490</v>
      </c>
      <c r="B22" s="27" t="n">
        <f aca="false">HISTORICAL_CF!B57</f>
        <v>6393</v>
      </c>
      <c r="C22" s="27" t="n">
        <f aca="false">HISTORICAL_CF!C57</f>
        <v>5198</v>
      </c>
      <c r="D22" s="27" t="n">
        <f aca="false">HISTORICAL_CF!D57</f>
        <v>7091</v>
      </c>
      <c r="E22" s="27" t="n">
        <f aca="false">HISTORICAL_CF!E57</f>
        <v>6445</v>
      </c>
      <c r="F22" s="27" t="n">
        <f aca="false">HISTORICAL_CF!F57</f>
        <v>6303</v>
      </c>
      <c r="G22" s="27" t="n">
        <f aca="false">HISTORICAL_CF!G57</f>
        <v>5921</v>
      </c>
      <c r="H22" s="11"/>
    </row>
    <row r="23" customFormat="false" ht="15" hidden="false" customHeight="false" outlineLevel="0" collapsed="false">
      <c r="A23" s="9" t="s">
        <v>180</v>
      </c>
      <c r="B23" s="19" t="n">
        <f aca="false">HISTORICAL_CF!B27</f>
        <v>-1239</v>
      </c>
      <c r="C23" s="19" t="n">
        <f aca="false">HISTORICAL_CF!C27</f>
        <v>-1627</v>
      </c>
      <c r="D23" s="19" t="n">
        <f aca="false">HISTORICAL_CF!D27</f>
        <v>-1703</v>
      </c>
      <c r="E23" s="19" t="n">
        <f aca="false">HISTORICAL_CF!E27</f>
        <v>-1420</v>
      </c>
      <c r="F23" s="19" t="n">
        <f aca="false">HISTORICAL_CF!F27</f>
        <v>-1599</v>
      </c>
      <c r="G23" s="19" t="n">
        <f aca="false">HISTORICAL_CF!G27</f>
        <v>-1465</v>
      </c>
      <c r="H23" s="11"/>
    </row>
    <row r="24" customFormat="false" ht="15" hidden="false" customHeight="false" outlineLevel="0" collapsed="false">
      <c r="A24" s="9" t="s">
        <v>491</v>
      </c>
      <c r="B24" s="19" t="n">
        <f aca="false">HISTORICAL_CF!B39</f>
        <v>-4483</v>
      </c>
      <c r="C24" s="19" t="n">
        <f aca="false">HISTORICAL_CF!C39</f>
        <v>-4329</v>
      </c>
      <c r="D24" s="19" t="n">
        <f aca="false">HISTORICAL_CF!D39</f>
        <v>-4363</v>
      </c>
      <c r="E24" s="19" t="n">
        <f aca="false">HISTORICAL_CF!E39</f>
        <v>-4363</v>
      </c>
      <c r="F24" s="19" t="n">
        <f aca="false">HISTORICAL_CF!F39</f>
        <v>-4319</v>
      </c>
      <c r="G24" s="19" t="n">
        <f aca="false">HISTORICAL_CF!G39</f>
        <v>-4453</v>
      </c>
      <c r="H24" s="11"/>
    </row>
    <row r="25" customFormat="false" ht="15" hidden="false" customHeight="false" outlineLevel="0" collapsed="false">
      <c r="A25" s="9" t="s">
        <v>492</v>
      </c>
      <c r="B25" s="19" t="n">
        <f aca="false">HISTORICAL_CF!B45</f>
        <v>-3018</v>
      </c>
      <c r="C25" s="19" t="n">
        <f aca="false">HISTORICAL_CF!C45</f>
        <v>-1509</v>
      </c>
      <c r="D25" s="19" t="n">
        <f aca="false">HISTORICAL_CF!D45</f>
        <v>-1507</v>
      </c>
      <c r="E25" s="19" t="str">
        <f aca="false">HISTORICAL_CF!E45</f>
        <v/>
      </c>
      <c r="F25" s="19" t="n">
        <f aca="false">HISTORICAL_CF!F45</f>
        <v>-1508</v>
      </c>
      <c r="G25" s="19" t="n">
        <f aca="false">HISTORICAL_CF!G45</f>
        <v>-1510</v>
      </c>
      <c r="H25" s="11" t="s">
        <v>209</v>
      </c>
    </row>
    <row r="27" customFormat="false" ht="15" hidden="false" customHeight="false" outlineLevel="0" collapsed="false">
      <c r="A27" s="7" t="s">
        <v>493</v>
      </c>
      <c r="B27" s="8"/>
      <c r="C27" s="8"/>
      <c r="D27" s="8"/>
      <c r="E27" s="8"/>
      <c r="F27" s="8"/>
      <c r="G27" s="8"/>
      <c r="H27" s="8"/>
    </row>
    <row r="28" customFormat="false" ht="15" hidden="false" customHeight="false" outlineLevel="0" collapsed="false">
      <c r="A28" s="9" t="s">
        <v>494</v>
      </c>
      <c r="B28" s="20"/>
      <c r="C28" s="19" t="n">
        <f aca="false">WORKING_CAPITAL!C11</f>
        <v>1248</v>
      </c>
      <c r="D28" s="19" t="n">
        <f aca="false">WORKING_CAPITAL!D11</f>
        <v>-812</v>
      </c>
      <c r="E28" s="12"/>
      <c r="F28" s="19" t="n">
        <f aca="false">WORKING_CAPITAL!F11</f>
        <v>58</v>
      </c>
      <c r="G28" s="19" t="n">
        <f aca="false">WORKING_CAPITAL!G11</f>
        <v>-1134</v>
      </c>
      <c r="H28" s="11"/>
    </row>
    <row r="29" customFormat="false" ht="15" hidden="false" customHeight="false" outlineLevel="0" collapsed="false">
      <c r="A29" s="9" t="s">
        <v>495</v>
      </c>
      <c r="B29" s="20"/>
      <c r="C29" s="19" t="n">
        <f aca="false">WORKING_CAPITAL!C12</f>
        <v>962</v>
      </c>
      <c r="D29" s="19" t="n">
        <f aca="false">WORKING_CAPITAL!D12</f>
        <v>-521</v>
      </c>
      <c r="E29" s="12"/>
      <c r="F29" s="19" t="n">
        <f aca="false">WORKING_CAPITAL!F12</f>
        <v>204</v>
      </c>
      <c r="G29" s="19" t="n">
        <f aca="false">WORKING_CAPITAL!G12</f>
        <v>625</v>
      </c>
      <c r="H29" s="11"/>
    </row>
    <row r="30" customFormat="false" ht="15" hidden="false" customHeight="false" outlineLevel="0" collapsed="false">
      <c r="A30" s="9" t="s">
        <v>496</v>
      </c>
      <c r="B30" s="20"/>
      <c r="C30" s="19" t="n">
        <f aca="false">WORKING_CAPITAL!C13</f>
        <v>2204</v>
      </c>
      <c r="D30" s="19" t="n">
        <f aca="false">WORKING_CAPITAL!D13</f>
        <v>-745</v>
      </c>
      <c r="E30" s="12"/>
      <c r="F30" s="19" t="n">
        <f aca="false">WORKING_CAPITAL!F13</f>
        <v>-97</v>
      </c>
      <c r="G30" s="19" t="n">
        <f aca="false">WORKING_CAPITAL!G13</f>
        <v>736</v>
      </c>
      <c r="H30" s="11"/>
    </row>
    <row r="31" customFormat="false" ht="15" hidden="false" customHeight="false" outlineLevel="0" collapsed="false">
      <c r="A31" s="14" t="s">
        <v>497</v>
      </c>
      <c r="B31" s="20"/>
      <c r="C31" s="27" t="n">
        <f aca="false">WORKING_CAPITAL!C19</f>
        <v>-6</v>
      </c>
      <c r="D31" s="27" t="n">
        <f aca="false">WORKING_CAPITAL!D19</f>
        <v>588</v>
      </c>
      <c r="E31" s="12"/>
      <c r="F31" s="27" t="n">
        <f aca="false">WORKING_CAPITAL!F19</f>
        <v>-359</v>
      </c>
      <c r="G31" s="27" t="n">
        <f aca="false">WORKING_CAPITAL!G19</f>
        <v>1245</v>
      </c>
      <c r="H31" s="11" t="s">
        <v>498</v>
      </c>
    </row>
    <row r="33" customFormat="false" ht="15" hidden="false" customHeight="false" outlineLevel="0" collapsed="false">
      <c r="A33" s="7" t="s">
        <v>499</v>
      </c>
      <c r="B33" s="8"/>
      <c r="C33" s="8"/>
      <c r="D33" s="8"/>
      <c r="E33" s="8"/>
      <c r="F33" s="8"/>
      <c r="G33" s="8"/>
      <c r="H33" s="8"/>
    </row>
    <row r="34" customFormat="false" ht="15" hidden="false" customHeight="false" outlineLevel="0" collapsed="false">
      <c r="A34" s="9" t="s">
        <v>500</v>
      </c>
      <c r="B34" s="20"/>
      <c r="C34" s="21" t="n">
        <f aca="false">IFERROR(HISTORICAL_IS!C6/HISTORICAL_IS!B6-1,"")</f>
        <v>0.145469453130959</v>
      </c>
      <c r="D34" s="21" t="n">
        <f aca="false">IFERROR(HISTORICAL_IS!D6/HISTORICAL_IS!C6-1,"")</f>
        <v>-0.00780716794566616</v>
      </c>
      <c r="E34" s="20"/>
      <c r="F34" s="21" t="n">
        <f aca="false">IFERROR(HISTORICAL_IS!F6/HISTORICAL_IS!E6-1,"")</f>
        <v>0.0154605263157894</v>
      </c>
      <c r="G34" s="21" t="n">
        <f aca="false">IFERROR(HISTORICAL_IS!G6/HISTORICAL_IS!F6-1,"")</f>
        <v>-0.0376531565006956</v>
      </c>
      <c r="H34" s="11" t="s">
        <v>501</v>
      </c>
    </row>
    <row r="35" customFormat="false" ht="15" hidden="false" customHeight="false" outlineLevel="0" collapsed="false">
      <c r="A35" s="9" t="s">
        <v>502</v>
      </c>
      <c r="B35" s="20"/>
      <c r="C35" s="21" t="n">
        <f aca="false">IFERROR(HISTORICAL_IS!C8/HISTORICAL_IS!B8-1,"")</f>
        <v>0.235922776373247</v>
      </c>
      <c r="D35" s="21" t="n">
        <f aca="false">IFERROR(HISTORICAL_IS!D8/HISTORICAL_IS!C8-1,"")</f>
        <v>-0.0927010692701069</v>
      </c>
      <c r="E35" s="20"/>
      <c r="F35" s="21" t="n">
        <f aca="false">IFERROR(HISTORICAL_IS!F8/HISTORICAL_IS!E8-1,"")</f>
        <v>-0.0187819515447877</v>
      </c>
      <c r="G35" s="21" t="n">
        <f aca="false">IFERROR(HISTORICAL_IS!G8/HISTORICAL_IS!F8-1,"")</f>
        <v>0.0235587269226414</v>
      </c>
      <c r="H35" s="11" t="s">
        <v>501</v>
      </c>
    </row>
    <row r="36" customFormat="false" ht="15" hidden="false" customHeight="false" outlineLevel="0" collapsed="false">
      <c r="A36" s="9" t="s">
        <v>503</v>
      </c>
      <c r="B36" s="20"/>
      <c r="C36" s="21" t="n">
        <f aca="false">IFERROR(HISTORICAL_IS!C15/HISTORICAL_IS!B15-1,"")</f>
        <v>0.248904999244827</v>
      </c>
      <c r="D36" s="21" t="n">
        <f aca="false">IFERROR(HISTORICAL_IS!D15/HISTORICAL_IS!C15-1,"")</f>
        <v>-0.136534042810497</v>
      </c>
      <c r="E36" s="20"/>
      <c r="F36" s="21" t="n">
        <f aca="false">IFERROR(HISTORICAL_IS!F15/HISTORICAL_IS!E15-1,"")</f>
        <v>-0.090100949224047</v>
      </c>
      <c r="G36" s="21" t="n">
        <f aca="false">IFERROR(HISTORICAL_IS!G15/HISTORICAL_IS!F15-1,"")</f>
        <v>0.0288127173373074</v>
      </c>
      <c r="H36" s="11" t="s">
        <v>501</v>
      </c>
    </row>
    <row r="37" customFormat="false" ht="15" hidden="false" customHeight="false" outlineLevel="0" collapsed="false">
      <c r="A37" s="9" t="s">
        <v>504</v>
      </c>
      <c r="B37" s="20"/>
      <c r="C37" s="21" t="n">
        <f aca="false">IFERROR(HISTORICAL_CF!C19/HISTORICAL_CF!B19-1,"")</f>
        <v>-0.0209606986899563</v>
      </c>
      <c r="D37" s="21" t="n">
        <f aca="false">IFERROR(HISTORICAL_CF!D19/HISTORICAL_CF!C19-1,"")</f>
        <v>0.145901476855982</v>
      </c>
      <c r="E37" s="20"/>
      <c r="F37" s="21" t="n">
        <f aca="false">IFERROR(HISTORICAL_CF!F19/HISTORICAL_CF!E19-1,"")</f>
        <v>0.0568467944993221</v>
      </c>
      <c r="G37" s="21" t="n">
        <f aca="false">IFERROR(HISTORICAL_CF!G19/HISTORICAL_CF!F19-1,"")</f>
        <v>-0.012920370200678</v>
      </c>
      <c r="H37" s="11" t="s">
        <v>501</v>
      </c>
    </row>
    <row r="38" customFormat="false" ht="15" hidden="false" customHeight="false" outlineLevel="0" collapsed="false">
      <c r="A38" s="9" t="s">
        <v>505</v>
      </c>
      <c r="B38" s="20"/>
      <c r="C38" s="21" t="n">
        <f aca="false">IFERROR(HISTORICAL_CF!C57/HISTORICAL_CF!B57-1,"")</f>
        <v>-0.186923197246989</v>
      </c>
      <c r="D38" s="21" t="n">
        <f aca="false">IFERROR(HISTORICAL_CF!D57/HISTORICAL_CF!C57-1,"")</f>
        <v>0.364178530203925</v>
      </c>
      <c r="E38" s="20"/>
      <c r="F38" s="21" t="n">
        <f aca="false">IFERROR(HISTORICAL_CF!F57/HISTORICAL_CF!E57-1,"")</f>
        <v>-0.022032583397983</v>
      </c>
      <c r="G38" s="21" t="n">
        <f aca="false">IFERROR(HISTORICAL_CF!G57/HISTORICAL_CF!F57-1,"")</f>
        <v>-0.0606060606060606</v>
      </c>
      <c r="H38" s="11" t="s">
        <v>501</v>
      </c>
    </row>
    <row r="39" customFormat="false" ht="15" hidden="false" customHeight="false" outlineLevel="0" collapsed="false">
      <c r="A39" s="9" t="s">
        <v>506</v>
      </c>
      <c r="B39" s="20"/>
      <c r="C39" s="21" t="n">
        <f aca="false">IFERROR(HISTORICAL_BS!C12/HISTORICAL_BS!B12-1,"")</f>
        <v>0.266764275256223</v>
      </c>
      <c r="D39" s="21" t="n">
        <f aca="false">IFERROR(HISTORICAL_BS!D12/HISTORICAL_BS!C12-1,"")</f>
        <v>-0.0386037910309754</v>
      </c>
      <c r="E39" s="12"/>
      <c r="F39" s="21" t="n">
        <f aca="false">IFERROR(HISTORICAL_BS!F12/HISTORICAL_BS!D12-1,"")</f>
        <v>0.475354652560712</v>
      </c>
      <c r="G39" s="21" t="n">
        <f aca="false">IFERROR(HISTORICAL_BS!G12/HISTORICAL_BS!F12-1,"")</f>
        <v>-0.357724902216428</v>
      </c>
      <c r="H39" s="11" t="s">
        <v>507</v>
      </c>
    </row>
    <row r="40" customFormat="false" ht="15" hidden="false" customHeight="false" outlineLevel="0" collapsed="false">
      <c r="A40" s="9" t="s">
        <v>508</v>
      </c>
      <c r="B40" s="20"/>
      <c r="C40" s="21" t="n">
        <f aca="false">IFERROR(HISTORICAL_BS!C13/HISTORICAL_BS!B13-1,"")</f>
        <v>0.241349480968858</v>
      </c>
      <c r="D40" s="21" t="n">
        <f aca="false">IFERROR(HISTORICAL_BS!D13/HISTORICAL_BS!C13-1,"")</f>
        <v>0.206271777003484</v>
      </c>
      <c r="E40" s="12"/>
      <c r="F40" s="21" t="n">
        <f aca="false">IFERROR(HISTORICAL_BS!F13/HISTORICAL_BS!D13-1,"")</f>
        <v>-0.231658001155401</v>
      </c>
      <c r="G40" s="21" t="n">
        <f aca="false">IFERROR(HISTORICAL_BS!G13/HISTORICAL_BS!F13-1,"")</f>
        <v>-0.157142857142857</v>
      </c>
      <c r="H40" s="11" t="s">
        <v>507</v>
      </c>
    </row>
    <row r="41" customFormat="false" ht="15" hidden="false" customHeight="false" outlineLevel="0" collapsed="false">
      <c r="A41" s="9" t="s">
        <v>509</v>
      </c>
      <c r="B41" s="20"/>
      <c r="C41" s="21" t="n">
        <f aca="false">IFERROR(HISTORICAL_BS!C60/HISTORICAL_BS!B60-1,"")</f>
        <v>-0.0718933751470012</v>
      </c>
      <c r="D41" s="21" t="n">
        <f aca="false">IFERROR(HISTORICAL_BS!D60/HISTORICAL_BS!C60-1,"")</f>
        <v>-0.000802500422368624</v>
      </c>
      <c r="E41" s="12"/>
      <c r="F41" s="21" t="n">
        <f aca="false">IFERROR(HISTORICAL_BS!F60/HISTORICAL_BS!D60-1,"")</f>
        <v>0.0364374181003508</v>
      </c>
      <c r="G41" s="21" t="n">
        <f aca="false">IFERROR(HISTORICAL_BS!G60/HISTORICAL_BS!F60-1,"")</f>
        <v>-0.0588523186100575</v>
      </c>
      <c r="H41" s="11" t="s">
        <v>507</v>
      </c>
    </row>
    <row r="42" customFormat="false" ht="15" hidden="false" customHeight="false" outlineLevel="0" collapsed="false">
      <c r="A42" s="9" t="s">
        <v>510</v>
      </c>
      <c r="B42" s="20"/>
      <c r="C42" s="21" t="n">
        <f aca="false">IFERROR(HISTORICAL_BS!C7/HISTORICAL_BS!B7-1,"")</f>
        <v>0.26856504745952</v>
      </c>
      <c r="D42" s="21" t="n">
        <f aca="false">IFERROR(HISTORICAL_BS!D7/HISTORICAL_BS!C7-1,"")</f>
        <v>-0.114656690140845</v>
      </c>
      <c r="E42" s="12"/>
      <c r="F42" s="21" t="n">
        <f aca="false">IFERROR(HISTORICAL_BS!F7/HISTORICAL_BS!D7-1,"")</f>
        <v>0.0507084265473528</v>
      </c>
      <c r="G42" s="21" t="n">
        <f aca="false">IFERROR(HISTORICAL_BS!G7/HISTORICAL_BS!F7-1,"")</f>
        <v>0.147859001656021</v>
      </c>
      <c r="H42" s="11" t="s">
        <v>507</v>
      </c>
    </row>
    <row r="43" customFormat="false" ht="15" hidden="false" customHeight="false" outlineLevel="0" collapsed="false">
      <c r="A43" s="9" t="s">
        <v>511</v>
      </c>
      <c r="B43" s="20"/>
      <c r="C43" s="21" t="n">
        <f aca="false">IFERROR(HISTORICAL_BS!C6/HISTORICAL_BS!B6-1,"")</f>
        <v>0.266495836002562</v>
      </c>
      <c r="D43" s="21" t="n">
        <f aca="false">IFERROR(HISTORICAL_BS!D6/HISTORICAL_BS!C6-1,"")</f>
        <v>-0.136907772719609</v>
      </c>
      <c r="E43" s="12"/>
      <c r="F43" s="21" t="n">
        <f aca="false">IFERROR(HISTORICAL_BS!F6/HISTORICAL_BS!D6-1,"")</f>
        <v>0.0113303379566321</v>
      </c>
      <c r="G43" s="21" t="n">
        <f aca="false">IFERROR(HISTORICAL_BS!G6/HISTORICAL_BS!F6-1,"")</f>
        <v>-0.219045779408924</v>
      </c>
      <c r="H43" s="11" t="s">
        <v>507</v>
      </c>
    </row>
    <row r="44" customFormat="false" ht="15" hidden="false" customHeight="false" outlineLevel="0" collapsed="false">
      <c r="A44" s="9" t="s">
        <v>512</v>
      </c>
      <c r="B44" s="20"/>
      <c r="C44" s="21" t="n">
        <f aca="false">IFERROR(HISTORICAL_BS!C26/HISTORICAL_BS!B26-1,"")</f>
        <v>0.247751798561151</v>
      </c>
      <c r="D44" s="21" t="n">
        <f aca="false">IFERROR(HISTORICAL_BS!D26/HISTORICAL_BS!C26-1,"")</f>
        <v>-0.0671171171171171</v>
      </c>
      <c r="E44" s="12"/>
      <c r="F44" s="21" t="n">
        <f aca="false">IFERROR(HISTORICAL_BS!F26/HISTORICAL_BS!D26-1,"")</f>
        <v>-0.00936745533558669</v>
      </c>
      <c r="G44" s="21" t="n">
        <f aca="false">IFERROR(HISTORICAL_BS!G26/HISTORICAL_BS!F26-1,"")</f>
        <v>0.0717488789237668</v>
      </c>
      <c r="H44" s="11" t="s">
        <v>507</v>
      </c>
    </row>
    <row r="46" customFormat="false" ht="15" hidden="false" customHeight="false" outlineLevel="0" collapsed="false">
      <c r="A46" s="7" t="s">
        <v>513</v>
      </c>
      <c r="B46" s="8"/>
      <c r="C46" s="8"/>
      <c r="D46" s="8"/>
      <c r="E46" s="8"/>
      <c r="F46" s="8"/>
      <c r="G46" s="8"/>
      <c r="H46" s="8"/>
    </row>
    <row r="47" customFormat="false" ht="23.85" hidden="false" customHeight="false" outlineLevel="0" collapsed="false">
      <c r="A47" s="22" t="s">
        <v>470</v>
      </c>
      <c r="B47" s="2" t="s">
        <v>514</v>
      </c>
      <c r="C47" s="2" t="s">
        <v>515</v>
      </c>
      <c r="D47" s="22"/>
      <c r="E47" s="22"/>
      <c r="F47" s="22"/>
      <c r="G47" s="22"/>
      <c r="H47" s="22" t="s">
        <v>45</v>
      </c>
    </row>
    <row r="48" customFormat="false" ht="22.35" hidden="false" customHeight="false" outlineLevel="0" collapsed="false">
      <c r="A48" s="9" t="s">
        <v>475</v>
      </c>
      <c r="B48" s="43" t="n">
        <f aca="false">IFERROR((HISTORICAL_IS!G6/HISTORICAL_IS!B6)^(1/4)-1,"")</f>
        <v>-0.00938399124658407</v>
      </c>
      <c r="C48" s="43" t="n">
        <f aca="false">IFERROR((HISTORICAL_IS!G6/HISTORICAL_IS!E6)^(1/2)-1,"")</f>
        <v>-0.0114529691521286</v>
      </c>
      <c r="D48" s="20"/>
      <c r="E48" s="20"/>
      <c r="F48" s="20"/>
      <c r="G48" s="20"/>
      <c r="H48" s="11" t="s">
        <v>516</v>
      </c>
    </row>
    <row r="49" customFormat="false" ht="22.35" hidden="false" customHeight="false" outlineLevel="0" collapsed="false">
      <c r="A49" s="9" t="s">
        <v>54</v>
      </c>
      <c r="B49" s="43" t="n">
        <f aca="false">IFERROR((HISTORICAL_IS!G8/HISTORICAL_IS!B8)^(1/4)-1,"")</f>
        <v>0.00948832558823609</v>
      </c>
      <c r="C49" s="43" t="n">
        <f aca="false">IFERROR((HISTORICAL_IS!G8/HISTORICAL_IS!E8)^(1/2)-1,"")</f>
        <v>0.00216480506468386</v>
      </c>
      <c r="D49" s="20"/>
      <c r="E49" s="20"/>
      <c r="F49" s="20"/>
      <c r="G49" s="20"/>
      <c r="H49" s="11" t="s">
        <v>516</v>
      </c>
    </row>
    <row r="50" customFormat="false" ht="22.35" hidden="false" customHeight="false" outlineLevel="0" collapsed="false">
      <c r="A50" s="9" t="s">
        <v>517</v>
      </c>
      <c r="B50" s="43" t="n">
        <f aca="false">IFERROR((HISTORICAL_CF!G19/HISTORICAL_CF!B19)^(1/4)-1,"")</f>
        <v>0.0111418533654344</v>
      </c>
      <c r="C50" s="43" t="n">
        <f aca="false">IFERROR((HISTORICAL_CF!G19/HISTORICAL_CF!E19)^(1/2)-1,"")</f>
        <v>0.0213676824087352</v>
      </c>
      <c r="D50" s="20"/>
      <c r="E50" s="20"/>
      <c r="F50" s="20"/>
      <c r="G50" s="20"/>
      <c r="H50" s="11" t="s">
        <v>516</v>
      </c>
    </row>
    <row r="51" customFormat="false" ht="22.35" hidden="false" customHeight="false" outlineLevel="0" collapsed="false">
      <c r="A51" s="9" t="s">
        <v>518</v>
      </c>
      <c r="B51" s="43" t="n">
        <f aca="false">IFERROR((HISTORICAL_CF!G57/HISTORICAL_CF!B57)^(1/4)-1,"")</f>
        <v>-0.018991909308403</v>
      </c>
      <c r="C51" s="43" t="n">
        <f aca="false">IFERROR((HISTORICAL_CF!G57/HISTORICAL_CF!E57)^(1/2)-1,"")</f>
        <v>-0.0415133469470309</v>
      </c>
      <c r="D51" s="20"/>
      <c r="E51" s="20"/>
      <c r="F51" s="20"/>
      <c r="G51" s="20"/>
      <c r="H51" s="11" t="s">
        <v>516</v>
      </c>
    </row>
    <row r="52" customFormat="false" ht="22.35" hidden="false" customHeight="false" outlineLevel="0" collapsed="false">
      <c r="A52" s="9" t="s">
        <v>485</v>
      </c>
      <c r="B52" s="43" t="n">
        <f aca="false">IFERROR((HISTORICAL_BS!G12/HISTORICAL_BS!B12)^(1/4)-1,"")</f>
        <v>0.0364633068950719</v>
      </c>
      <c r="C52" s="44" t="s">
        <v>519</v>
      </c>
      <c r="D52" s="20"/>
      <c r="E52" s="20"/>
      <c r="F52" s="20"/>
      <c r="G52" s="20"/>
      <c r="H52" s="11" t="s">
        <v>520</v>
      </c>
    </row>
    <row r="54" customFormat="false" ht="15" hidden="false" customHeight="false" outlineLevel="0" collapsed="false">
      <c r="A54" s="7" t="s">
        <v>521</v>
      </c>
      <c r="B54" s="8"/>
      <c r="C54" s="8"/>
      <c r="D54" s="8"/>
      <c r="E54" s="8"/>
      <c r="F54" s="8"/>
      <c r="G54" s="8"/>
      <c r="H54" s="8"/>
    </row>
    <row r="55" customFormat="false" ht="15" hidden="false" customHeight="false" outlineLevel="0" collapsed="false">
      <c r="A55" s="22" t="s">
        <v>522</v>
      </c>
      <c r="B55" s="22" t="s">
        <v>523</v>
      </c>
      <c r="C55" s="22" t="s">
        <v>524</v>
      </c>
      <c r="D55" s="22" t="s">
        <v>525</v>
      </c>
      <c r="E55" s="22" t="s">
        <v>526</v>
      </c>
      <c r="F55" s="22" t="s">
        <v>527</v>
      </c>
      <c r="H55" s="22" t="s">
        <v>45</v>
      </c>
    </row>
    <row r="56" customFormat="false" ht="15" hidden="false" customHeight="false" outlineLevel="0" collapsed="false">
      <c r="A56" s="9" t="s">
        <v>528</v>
      </c>
      <c r="B56" s="43" t="n">
        <f aca="false">IFERROR(AVERAGE(B34:G34),"")</f>
        <v>0.0288674137500966</v>
      </c>
      <c r="C56" s="43" t="n">
        <f aca="false">IFERROR(STDEV(B34:G34),"")</f>
        <v>0.0807171841008305</v>
      </c>
      <c r="D56" s="43" t="n">
        <f aca="false">IFERROR(MIN(B34:G34),"")</f>
        <v>-0.0376531565006956</v>
      </c>
      <c r="E56" s="43" t="n">
        <f aca="false">IFERROR(MAX(B34:G34),"")</f>
        <v>0.145469453130959</v>
      </c>
      <c r="F56" s="20" t="n">
        <f aca="false">COUNT(B34:G34)</f>
        <v>4</v>
      </c>
      <c r="G56" s="20"/>
      <c r="H56" s="40" t="s">
        <v>529</v>
      </c>
    </row>
    <row r="57" customFormat="false" ht="15" hidden="false" customHeight="false" outlineLevel="0" collapsed="false">
      <c r="A57" s="9" t="s">
        <v>530</v>
      </c>
      <c r="B57" s="43" t="n">
        <f aca="false">IFERROR(AVERAGE(B37:G37),"")</f>
        <v>0.0422168006161674</v>
      </c>
      <c r="C57" s="43" t="n">
        <f aca="false">IFERROR(STDEV(B37:G37),"")</f>
        <v>0.0774511735057159</v>
      </c>
      <c r="D57" s="43" t="n">
        <f aca="false">IFERROR(MIN(B37:G37),"")</f>
        <v>-0.0209606986899563</v>
      </c>
      <c r="E57" s="43" t="n">
        <f aca="false">IFERROR(MAX(B37:G37),"")</f>
        <v>0.145901476855982</v>
      </c>
      <c r="F57" s="20" t="n">
        <f aca="false">COUNT(B37:G37)</f>
        <v>4</v>
      </c>
      <c r="G57" s="20"/>
      <c r="H57" s="40" t="s">
        <v>529</v>
      </c>
    </row>
    <row r="58" customFormat="false" ht="15" hidden="false" customHeight="false" outlineLevel="0" collapsed="false">
      <c r="A58" s="9" t="s">
        <v>531</v>
      </c>
      <c r="B58" s="43" t="n">
        <f aca="false">IFERROR(AVERAGE(B38:G38),"")</f>
        <v>0.0236541722382231</v>
      </c>
      <c r="C58" s="43" t="n">
        <f aca="false">IFERROR(STDEV(B38:G38),"")</f>
        <v>0.2376879841212</v>
      </c>
      <c r="D58" s="43" t="n">
        <f aca="false">IFERROR(MIN(B38:G38),"")</f>
        <v>-0.186923197246989</v>
      </c>
      <c r="E58" s="43" t="n">
        <f aca="false">IFERROR(MAX(B38:G38),"")</f>
        <v>0.364178530203925</v>
      </c>
      <c r="F58" s="20" t="n">
        <f aca="false">COUNT(B38:G38)</f>
        <v>4</v>
      </c>
      <c r="G58" s="20"/>
      <c r="H58" s="40" t="s">
        <v>529</v>
      </c>
    </row>
    <row r="59" customFormat="false" ht="15" hidden="false" customHeight="false" outlineLevel="0" collapsed="false">
      <c r="A59" s="5" t="s">
        <v>532</v>
      </c>
      <c r="H59" s="5" t="s">
        <v>533</v>
      </c>
    </row>
    <row r="60" customFormat="false" ht="15" hidden="false" customHeight="false" outlineLevel="0" collapsed="false">
      <c r="A60" s="5" t="s">
        <v>534</v>
      </c>
      <c r="H60" s="5" t="s">
        <v>533</v>
      </c>
    </row>
    <row r="61" customFormat="false" ht="15" hidden="false" customHeight="false" outlineLevel="0" collapsed="false">
      <c r="A61" s="5" t="s">
        <v>535</v>
      </c>
      <c r="H61" s="5" t="s">
        <v>533</v>
      </c>
    </row>
    <row r="63" customFormat="false" ht="15" hidden="false" customHeight="false" outlineLevel="0" collapsed="false">
      <c r="A63" s="41" t="s">
        <v>536</v>
      </c>
    </row>
    <row r="116" customFormat="false" ht="15" hidden="false" customHeight="false" outlineLevel="0" collapsed="false">
      <c r="A116" s="7" t="s">
        <v>537</v>
      </c>
      <c r="B116" s="8"/>
      <c r="C116" s="8"/>
      <c r="D116" s="8"/>
      <c r="E116" s="8"/>
      <c r="F116" s="8"/>
      <c r="G116" s="8"/>
      <c r="H116" s="8"/>
    </row>
    <row r="117" customFormat="false" ht="30" hidden="false" customHeight="true" outlineLevel="0" collapsed="false">
      <c r="A117" s="45" t="str">
        <f aca="false">"Revenue changed from €"&amp;TEXT(HISTORICAL_IS!B6/1000,"0.0")&amp;"bn in 2021 to €"&amp;TEXT(HISTORICAL_IS!G6/1000,"0.0")&amp;"bn in 2025 on a reported basis (2021 includes Ice Cream). On the continuing basis it moved from €"&amp;TEXT(HISTORICAL_IS!E6/1000,"0.0")&amp;"bn in 2023 to €"&amp;TEXT(HISTORICAL_IS!G6/1000,"0.0")&amp;"bn in 2025."</f>
        <v>Revenue changed from €52.4bn in 2021 to €50.5bn in 2025 on a reported basis (2021 includes Ice Cream). On the continuing basis it moved from €51.7bn in 2023 to €50.5bn in 2025.</v>
      </c>
      <c r="B117" s="45"/>
      <c r="C117" s="45"/>
      <c r="D117" s="45"/>
      <c r="E117" s="45"/>
      <c r="F117" s="45"/>
      <c r="G117" s="45"/>
      <c r="H117" s="45"/>
    </row>
    <row r="118" customFormat="false" ht="30" hidden="false" customHeight="true" outlineLevel="0" collapsed="false">
      <c r="A118" s="45" t="str">
        <f aca="false">"Operating margin was "&amp;TEXT(HISTORICAL_IS!G20,"0.0%")&amp;" in 2025, compared with "&amp;TEXT(HISTORICAL_IS!E20,"0.0%")&amp;" in 2023 on the continuing basis."</f>
        <v>Operating margin was 17.9% in 2025, compared with 17.4% in 2023 on the continuing basis.</v>
      </c>
      <c r="B118" s="45"/>
      <c r="C118" s="45"/>
      <c r="D118" s="45"/>
      <c r="E118" s="45"/>
      <c r="F118" s="45"/>
      <c r="G118" s="45"/>
      <c r="H118" s="45"/>
    </row>
    <row r="119" customFormat="false" ht="30" hidden="false" customHeight="true" outlineLevel="0" collapsed="false">
      <c r="A119" s="45" t="str">
        <f aca="false">"Operating cash flow (before tax) was €"&amp;TEXT(HISTORICAL_CF!G19/1000,"0.0")&amp;"bn in 2025."</f>
        <v>Operating cash flow (before tax) was €10.8bn in 2025.</v>
      </c>
      <c r="B119" s="45"/>
      <c r="C119" s="45"/>
      <c r="D119" s="45"/>
      <c r="E119" s="45"/>
      <c r="F119" s="45"/>
      <c r="G119" s="45"/>
      <c r="H119" s="45"/>
    </row>
    <row r="120" customFormat="false" ht="30" hidden="false" customHeight="true" outlineLevel="0" collapsed="false">
      <c r="A120" s="45" t="str">
        <f aca="false">"Free cash flow was €"&amp;TEXT(HISTORICAL_CF!G57/1000,"0.0")&amp;"bn in 2025, reconciling to Unilever's reported figure (Check 4 for 2025: "&amp;HISTORICAL_CHECKS!G21&amp;")."</f>
        <v>Free cash flow was €5.9bn in 2025, reconciling to Unilever's reported figure (Check 4 for 2025: PASS).</v>
      </c>
      <c r="B120" s="45"/>
      <c r="C120" s="45"/>
      <c r="D120" s="45"/>
      <c r="E120" s="45"/>
      <c r="F120" s="45"/>
      <c r="G120" s="45"/>
      <c r="H120" s="45"/>
    </row>
    <row r="121" customFormat="false" ht="30" hidden="false" customHeight="true" outlineLevel="0" collapsed="false">
      <c r="A121" s="45" t="str">
        <f aca="false">"Reported net debt was €"&amp;TEXT(HISTORICAL_BS!G60/1000,"0.0")&amp;"bn at year-end 2025, compared with €"&amp;TEXT(HISTORICAL_BS!F60/1000,"0.0")&amp;"bn at year-end 2024."</f>
        <v>Reported net debt was €23.1bn at year-end 2025, compared with €24.5bn at year-end 2024.</v>
      </c>
      <c r="B121" s="45"/>
      <c r="C121" s="45"/>
      <c r="D121" s="45"/>
      <c r="E121" s="45"/>
      <c r="F121" s="45"/>
      <c r="G121" s="45"/>
      <c r="H121" s="45"/>
    </row>
    <row r="122" customFormat="false" ht="30" hidden="false" customHeight="true" outlineLevel="0" collapsed="false">
      <c r="A122" s="45" t="str">
        <f aca="false">"Cash and current financial assets totalled €"&amp;TEXT(HISTORICAL_BS!G14/1000,"0.0")&amp;"bn at year-end 2025 (balance-sheet cash €"&amp;TEXT(HISTORICAL_BS!G12/1000,"0.0")&amp;"bn)."</f>
        <v>Cash and current financial assets totalled €5.1bn at year-end 2025 (balance-sheet cash €3.9bn).</v>
      </c>
      <c r="B122" s="45"/>
      <c r="C122" s="45"/>
      <c r="D122" s="45"/>
      <c r="E122" s="45"/>
      <c r="F122" s="45"/>
      <c r="G122" s="45"/>
      <c r="H122" s="45"/>
    </row>
    <row r="123" customFormat="false" ht="30" hidden="false" customHeight="true" outlineLevel="0" collapsed="false">
      <c r="A123" s="45" t="str">
        <f aca="false">"Simplified working-capital movements "&amp;IF(WORKING_CAPITAL!G19&gt;=0,"released","consumed")&amp;" €"&amp;TEXT(ABS(WORKING_CAPITAL!G19)/1000,"0.0")&amp;"bn of cash in 2025 (inventory, trade receivables and trade payables only); this includes the effect of Ice Cream balances leaving the balance sheet at demerger."</f>
        <v>Simplified working-capital movements released €1.2bn of cash in 2025 (inventory, trade receivables and trade payables only); this includes the effect of Ice Cream balances leaving the balance sheet at demerger.</v>
      </c>
      <c r="B123" s="45"/>
      <c r="C123" s="45"/>
      <c r="D123" s="45"/>
      <c r="E123" s="45"/>
      <c r="F123" s="45"/>
      <c r="G123" s="45"/>
      <c r="H123" s="45"/>
    </row>
    <row r="124" customFormat="false" ht="30" hidden="false" customHeight="true" outlineLevel="0" collapsed="false">
      <c r="A124" s="45" t="str">
        <f aca="false">"Dividends and buybacks totalled "&amp;TEXT(HISTORICAL_CF!G76,"0.0%")&amp;" of FCF in 2025."</f>
        <v>Dividends and buybacks totalled 100.7% of FCF in 2025.</v>
      </c>
      <c r="B124" s="45"/>
      <c r="C124" s="45"/>
      <c r="D124" s="45"/>
      <c r="E124" s="45"/>
      <c r="F124" s="45"/>
      <c r="G124" s="45"/>
      <c r="H124" s="45"/>
    </row>
  </sheetData>
  <mergeCells count="8">
    <mergeCell ref="A117:H117"/>
    <mergeCell ref="A118:H118"/>
    <mergeCell ref="A119:H119"/>
    <mergeCell ref="A120:H120"/>
    <mergeCell ref="A121:H121"/>
    <mergeCell ref="A122:H122"/>
    <mergeCell ref="A123:H123"/>
    <mergeCell ref="A124:H1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30"/>
  </cols>
  <sheetData>
    <row r="1" customFormat="false" ht="16.15" hidden="false" customHeight="false" outlineLevel="0" collapsed="false">
      <c r="A1" s="1" t="s">
        <v>538</v>
      </c>
    </row>
    <row r="2" customFormat="false" ht="15" hidden="false" customHeight="false" outlineLevel="0" collapsed="false">
      <c r="A2" s="5" t="s">
        <v>539</v>
      </c>
    </row>
    <row r="4" customFormat="false" ht="18" hidden="false" customHeight="true" outlineLevel="0" collapsed="false">
      <c r="A4" s="4" t="s">
        <v>540</v>
      </c>
      <c r="B4" s="46" t="s">
        <v>541</v>
      </c>
    </row>
    <row r="5" customFormat="false" ht="18" hidden="false" customHeight="true" outlineLevel="0" collapsed="false">
      <c r="A5" s="2" t="s">
        <v>1</v>
      </c>
      <c r="B5" s="3" t="s">
        <v>2</v>
      </c>
    </row>
    <row r="6" customFormat="false" ht="18" hidden="false" customHeight="true" outlineLevel="0" collapsed="false">
      <c r="A6" s="2" t="s">
        <v>3</v>
      </c>
      <c r="B6" s="3" t="s">
        <v>4</v>
      </c>
    </row>
    <row r="7" customFormat="false" ht="31.5" hidden="false" customHeight="true" outlineLevel="0" collapsed="false">
      <c r="A7" s="2" t="s">
        <v>542</v>
      </c>
      <c r="B7" s="3" t="s">
        <v>543</v>
      </c>
    </row>
    <row r="8" customFormat="false" ht="31.5" hidden="false" customHeight="true" outlineLevel="0" collapsed="false">
      <c r="A8" s="2" t="s">
        <v>544</v>
      </c>
      <c r="B8" s="3" t="s">
        <v>545</v>
      </c>
    </row>
    <row r="9" customFormat="false" ht="31.5" hidden="false" customHeight="true" outlineLevel="0" collapsed="false">
      <c r="A9" s="2" t="s">
        <v>546</v>
      </c>
      <c r="B9" s="3" t="s">
        <v>547</v>
      </c>
    </row>
    <row r="10" customFormat="false" ht="18" hidden="false" customHeight="true" outlineLevel="0" collapsed="false">
      <c r="A10" s="2" t="s">
        <v>548</v>
      </c>
      <c r="B10" s="3" t="s">
        <v>549</v>
      </c>
    </row>
    <row r="11" customFormat="false" ht="31.5" hidden="false" customHeight="true" outlineLevel="0" collapsed="false">
      <c r="A11" s="2" t="s">
        <v>550</v>
      </c>
      <c r="B11" s="3" t="s">
        <v>551</v>
      </c>
    </row>
    <row r="12" customFormat="false" ht="31.5" hidden="false" customHeight="true" outlineLevel="0" collapsed="false">
      <c r="A12" s="2" t="s">
        <v>552</v>
      </c>
      <c r="B12" s="3" t="s">
        <v>553</v>
      </c>
    </row>
    <row r="13" customFormat="false" ht="31.5" hidden="false" customHeight="true" outlineLevel="0" collapsed="false">
      <c r="A13" s="2" t="s">
        <v>554</v>
      </c>
      <c r="B13" s="3" t="s">
        <v>555</v>
      </c>
    </row>
    <row r="14" customFormat="false" ht="31.5" hidden="false" customHeight="true" outlineLevel="0" collapsed="false">
      <c r="A14" s="2" t="s">
        <v>556</v>
      </c>
      <c r="B14" s="3" t="s">
        <v>557</v>
      </c>
    </row>
    <row r="15" customFormat="false" ht="57.75" hidden="false" customHeight="true" outlineLevel="0" collapsed="false">
      <c r="A15" s="2" t="s">
        <v>558</v>
      </c>
      <c r="B15" s="3" t="s">
        <v>559</v>
      </c>
    </row>
    <row r="16" customFormat="false" ht="31.5" hidden="false" customHeight="true" outlineLevel="0" collapsed="false">
      <c r="A16" s="2" t="s">
        <v>560</v>
      </c>
      <c r="B16" s="3" t="s">
        <v>561</v>
      </c>
    </row>
    <row r="17" customFormat="false" ht="57.75" hidden="false" customHeight="true" outlineLevel="0" collapsed="false">
      <c r="A17" s="2" t="s">
        <v>562</v>
      </c>
      <c r="B17" s="3" t="s">
        <v>563</v>
      </c>
    </row>
    <row r="18" customFormat="false" ht="57.75" hidden="false" customHeight="true" outlineLevel="0" collapsed="false">
      <c r="A18" s="2" t="s">
        <v>564</v>
      </c>
      <c r="B18" s="3" t="s">
        <v>565</v>
      </c>
    </row>
    <row r="19" customFormat="false" ht="31.5" hidden="false" customHeight="true" outlineLevel="0" collapsed="false">
      <c r="A19" s="2" t="s">
        <v>566</v>
      </c>
      <c r="B19" s="3" t="s">
        <v>567</v>
      </c>
    </row>
    <row r="20" customFormat="false" ht="31.5" hidden="false" customHeight="true" outlineLevel="0" collapsed="false">
      <c r="A20" s="2" t="s">
        <v>568</v>
      </c>
      <c r="B20" s="3" t="s">
        <v>569</v>
      </c>
    </row>
    <row r="21" customFormat="false" ht="31.5" hidden="false" customHeight="true" outlineLevel="0" collapsed="false">
      <c r="A21" s="2" t="s">
        <v>570</v>
      </c>
      <c r="B21" s="3" t="s">
        <v>571</v>
      </c>
    </row>
    <row r="22" customFormat="false" ht="31.5" hidden="false" customHeight="true" outlineLevel="0" collapsed="false">
      <c r="A22" s="2" t="s">
        <v>572</v>
      </c>
      <c r="B22" s="3" t="s">
        <v>573</v>
      </c>
    </row>
    <row r="23" customFormat="false" ht="57.75" hidden="false" customHeight="true" outlineLevel="0" collapsed="false">
      <c r="A23" s="2" t="s">
        <v>574</v>
      </c>
      <c r="B23" s="3" t="s">
        <v>575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5" min="2" style="0" width="13"/>
    <col collapsed="false" customWidth="true" hidden="false" outlineLevel="0" max="6" min="6" style="0" width="10"/>
    <col collapsed="false" customWidth="true" hidden="false" outlineLevel="0" max="7" min="7" style="0" width="20"/>
    <col collapsed="false" customWidth="true" hidden="false" outlineLevel="0" max="8" min="8" style="0" width="90"/>
  </cols>
  <sheetData>
    <row r="1" customFormat="false" ht="16.15" hidden="false" customHeight="false" outlineLevel="0" collapsed="false">
      <c r="A1" s="1" t="s">
        <v>576</v>
      </c>
    </row>
    <row r="2" customFormat="false" ht="15" hidden="false" customHeight="false" outlineLevel="0" collapsed="false">
      <c r="A2" s="5" t="s">
        <v>577</v>
      </c>
    </row>
    <row r="4" customFormat="false" ht="15" hidden="false" customHeight="false" outlineLevel="0" collapsed="false">
      <c r="A4" s="15" t="s">
        <v>578</v>
      </c>
      <c r="B4" s="16" t="s">
        <v>579</v>
      </c>
      <c r="C4" s="16" t="s">
        <v>580</v>
      </c>
      <c r="D4" s="16" t="s">
        <v>581</v>
      </c>
      <c r="E4" s="16" t="s">
        <v>582</v>
      </c>
      <c r="F4" s="16" t="s">
        <v>583</v>
      </c>
      <c r="G4" s="16" t="s">
        <v>584</v>
      </c>
      <c r="H4" s="16" t="s">
        <v>585</v>
      </c>
    </row>
    <row r="5" customFormat="false" ht="15" hidden="false" customHeight="false" outlineLevel="0" collapsed="false">
      <c r="A5" s="7" t="s">
        <v>586</v>
      </c>
      <c r="B5" s="8"/>
      <c r="C5" s="8"/>
      <c r="D5" s="8"/>
      <c r="E5" s="8"/>
      <c r="F5" s="8"/>
      <c r="G5" s="8"/>
      <c r="H5" s="8"/>
    </row>
    <row r="6" customFormat="false" ht="15" hidden="false" customHeight="false" outlineLevel="0" collapsed="false">
      <c r="A6" s="9" t="s">
        <v>587</v>
      </c>
      <c r="B6" s="47" t="n">
        <v>46022</v>
      </c>
      <c r="C6" s="47" t="n">
        <v>46022</v>
      </c>
      <c r="D6" s="47" t="n">
        <v>46022</v>
      </c>
      <c r="E6" s="48" t="n">
        <f aca="false">INDEX($B6:$D6,MATCH(13W_FORECAST!$C$4,$B$4:$D$4,0))</f>
        <v>46022</v>
      </c>
      <c r="F6" s="9" t="s">
        <v>588</v>
      </c>
      <c r="G6" s="9" t="s">
        <v>589</v>
      </c>
      <c r="H6" s="11" t="s">
        <v>590</v>
      </c>
    </row>
    <row r="7" customFormat="false" ht="15" hidden="false" customHeight="false" outlineLevel="0" collapsed="false">
      <c r="A7" s="9" t="s">
        <v>591</v>
      </c>
      <c r="B7" s="49" t="n">
        <v>7</v>
      </c>
      <c r="C7" s="49" t="n">
        <v>7</v>
      </c>
      <c r="D7" s="49" t="n">
        <v>7</v>
      </c>
      <c r="E7" s="50" t="n">
        <f aca="false">INDEX($B7:$D7,MATCH(13W_FORECAST!$C$4,$B$4:$D$4,0))</f>
        <v>7</v>
      </c>
      <c r="F7" s="9" t="s">
        <v>592</v>
      </c>
      <c r="G7" s="14" t="s">
        <v>593</v>
      </c>
      <c r="H7" s="11" t="s">
        <v>594</v>
      </c>
    </row>
    <row r="8" customFormat="false" ht="15" hidden="false" customHeight="false" outlineLevel="0" collapsed="false">
      <c r="A8" s="9" t="s">
        <v>595</v>
      </c>
      <c r="B8" s="49" t="n">
        <v>365</v>
      </c>
      <c r="C8" s="49" t="n">
        <v>365</v>
      </c>
      <c r="D8" s="49" t="n">
        <v>365</v>
      </c>
      <c r="E8" s="50" t="n">
        <f aca="false">INDEX($B8:$D8,MATCH(13W_FORECAST!$C$4,$B$4:$D$4,0))</f>
        <v>365</v>
      </c>
      <c r="F8" s="9" t="s">
        <v>592</v>
      </c>
      <c r="G8" s="14" t="s">
        <v>593</v>
      </c>
      <c r="H8" s="11" t="s">
        <v>596</v>
      </c>
    </row>
    <row r="9" customFormat="false" ht="22.35" hidden="false" customHeight="false" outlineLevel="0" collapsed="false">
      <c r="A9" s="9" t="s">
        <v>597</v>
      </c>
      <c r="B9" s="51" t="n">
        <v>160</v>
      </c>
      <c r="C9" s="51" t="n">
        <v>160</v>
      </c>
      <c r="D9" s="51" t="n">
        <v>160</v>
      </c>
      <c r="E9" s="27" t="n">
        <f aca="false">INDEX($B9:$D9,MATCH(13W_FORECAST!$C$4,$B$4:$D$4,0))</f>
        <v>160</v>
      </c>
      <c r="F9" s="9" t="s">
        <v>258</v>
      </c>
      <c r="G9" s="9" t="s">
        <v>589</v>
      </c>
      <c r="H9" s="11" t="s">
        <v>598</v>
      </c>
    </row>
    <row r="10" customFormat="false" ht="15" hidden="false" customHeight="false" outlineLevel="0" collapsed="false">
      <c r="A10" s="9" t="s">
        <v>599</v>
      </c>
      <c r="B10" s="51" t="n">
        <v>5200</v>
      </c>
      <c r="C10" s="51" t="n">
        <v>5200</v>
      </c>
      <c r="D10" s="51" t="n">
        <v>5200</v>
      </c>
      <c r="E10" s="27" t="n">
        <f aca="false">INDEX($B10:$D10,MATCH(13W_FORECAST!$C$4,$B$4:$D$4,0))</f>
        <v>5200</v>
      </c>
      <c r="F10" s="9" t="s">
        <v>600</v>
      </c>
      <c r="G10" s="9" t="s">
        <v>589</v>
      </c>
      <c r="H10" s="11" t="s">
        <v>601</v>
      </c>
    </row>
    <row r="11" customFormat="false" ht="15" hidden="false" customHeight="false" outlineLevel="0" collapsed="false">
      <c r="A11" s="9" t="s">
        <v>602</v>
      </c>
      <c r="B11" s="51" t="n">
        <v>2600</v>
      </c>
      <c r="C11" s="51" t="n">
        <v>2600</v>
      </c>
      <c r="D11" s="51" t="n">
        <v>2600</v>
      </c>
      <c r="E11" s="27" t="n">
        <f aca="false">INDEX($B11:$D11,MATCH(13W_FORECAST!$C$4,$B$4:$D$4,0))</f>
        <v>2600</v>
      </c>
      <c r="F11" s="9" t="s">
        <v>258</v>
      </c>
      <c r="G11" s="9" t="s">
        <v>589</v>
      </c>
      <c r="H11" s="11" t="s">
        <v>601</v>
      </c>
    </row>
    <row r="12" customFormat="false" ht="22.35" hidden="false" customHeight="false" outlineLevel="0" collapsed="false">
      <c r="A12" s="9" t="s">
        <v>603</v>
      </c>
      <c r="B12" s="52" t="n">
        <v>1.175</v>
      </c>
      <c r="C12" s="52" t="n">
        <v>1.175</v>
      </c>
      <c r="D12" s="52" t="n">
        <v>1.175</v>
      </c>
      <c r="E12" s="53" t="n">
        <f aca="false">INDEX($B12:$D12,MATCH(13W_FORECAST!$C$4,$B$4:$D$4,0))</f>
        <v>1.175</v>
      </c>
      <c r="F12" s="9" t="s">
        <v>604</v>
      </c>
      <c r="G12" s="9" t="s">
        <v>589</v>
      </c>
      <c r="H12" s="11" t="s">
        <v>605</v>
      </c>
    </row>
    <row r="13" customFormat="false" ht="15" hidden="false" customHeight="false" outlineLevel="0" collapsed="false">
      <c r="A13" s="7" t="s">
        <v>606</v>
      </c>
      <c r="B13" s="8"/>
      <c r="C13" s="8"/>
      <c r="D13" s="8"/>
      <c r="E13" s="8"/>
      <c r="F13" s="8"/>
      <c r="G13" s="8"/>
      <c r="H13" s="8"/>
    </row>
    <row r="14" customFormat="false" ht="22.35" hidden="false" customHeight="false" outlineLevel="0" collapsed="false">
      <c r="A14" s="9" t="s">
        <v>607</v>
      </c>
      <c r="B14" s="54" t="n">
        <v>0</v>
      </c>
      <c r="C14" s="54" t="n">
        <v>0</v>
      </c>
      <c r="D14" s="54" t="n">
        <v>0</v>
      </c>
      <c r="E14" s="55" t="n">
        <f aca="false">INDEX($B14:$D14,MATCH(13W_FORECAST!$C$4,$B$4:$D$4,0))</f>
        <v>0</v>
      </c>
      <c r="F14" s="9" t="s">
        <v>608</v>
      </c>
      <c r="G14" s="14" t="s">
        <v>593</v>
      </c>
      <c r="H14" s="11" t="s">
        <v>609</v>
      </c>
    </row>
    <row r="15" customFormat="false" ht="22.35" hidden="false" customHeight="false" outlineLevel="0" collapsed="false">
      <c r="A15" s="9" t="s">
        <v>610</v>
      </c>
      <c r="B15" s="54" t="n">
        <v>0</v>
      </c>
      <c r="C15" s="54" t="n">
        <v>0</v>
      </c>
      <c r="D15" s="54" t="n">
        <v>-0.05</v>
      </c>
      <c r="E15" s="55" t="n">
        <f aca="false">INDEX($B15:$D15,MATCH(13W_FORECAST!$C$4,$B$4:$D$4,0))</f>
        <v>0</v>
      </c>
      <c r="F15" s="9" t="s">
        <v>608</v>
      </c>
      <c r="G15" s="14" t="s">
        <v>593</v>
      </c>
      <c r="H15" s="11" t="s">
        <v>611</v>
      </c>
    </row>
    <row r="16" customFormat="false" ht="22.35" hidden="false" customHeight="false" outlineLevel="0" collapsed="false">
      <c r="A16" s="9" t="s">
        <v>612</v>
      </c>
      <c r="B16" s="49" t="n">
        <v>0</v>
      </c>
      <c r="C16" s="49" t="n">
        <v>7</v>
      </c>
      <c r="D16" s="49" t="n">
        <v>15</v>
      </c>
      <c r="E16" s="50" t="n">
        <f aca="false">INDEX($B16:$D16,MATCH(13W_FORECAST!$C$4,$B$4:$D$4,0))</f>
        <v>0</v>
      </c>
      <c r="F16" s="9" t="s">
        <v>592</v>
      </c>
      <c r="G16" s="14" t="s">
        <v>593</v>
      </c>
      <c r="H16" s="11" t="s">
        <v>613</v>
      </c>
    </row>
    <row r="17" customFormat="false" ht="22.35" hidden="false" customHeight="false" outlineLevel="0" collapsed="false">
      <c r="A17" s="9" t="s">
        <v>614</v>
      </c>
      <c r="B17" s="56" t="s">
        <v>615</v>
      </c>
      <c r="C17" s="56" t="s">
        <v>615</v>
      </c>
      <c r="D17" s="56" t="s">
        <v>615</v>
      </c>
      <c r="E17" s="57" t="str">
        <f aca="false">INDEX($B17:$D17,MATCH(13W_FORECAST!$C$4,$B$4:$D$4,0))</f>
        <v>Even</v>
      </c>
      <c r="F17" s="9" t="s">
        <v>616</v>
      </c>
      <c r="G17" s="14" t="s">
        <v>593</v>
      </c>
      <c r="H17" s="11" t="s">
        <v>617</v>
      </c>
    </row>
    <row r="18" customFormat="false" ht="15" hidden="false" customHeight="false" outlineLevel="0" collapsed="false">
      <c r="A18" s="9" t="s">
        <v>618</v>
      </c>
      <c r="B18" s="49" t="n">
        <v>0</v>
      </c>
      <c r="C18" s="49" t="n">
        <v>0</v>
      </c>
      <c r="D18" s="49" t="n">
        <v>5</v>
      </c>
      <c r="E18" s="50" t="n">
        <f aca="false">INDEX($B18:$D18,MATCH(13W_FORECAST!$C$4,$B$4:$D$4,0))</f>
        <v>0</v>
      </c>
      <c r="F18" s="9" t="s">
        <v>592</v>
      </c>
      <c r="G18" s="14" t="s">
        <v>593</v>
      </c>
      <c r="H18" s="11" t="s">
        <v>619</v>
      </c>
    </row>
    <row r="19" customFormat="false" ht="22.35" hidden="false" customHeight="false" outlineLevel="0" collapsed="false">
      <c r="A19" s="9" t="s">
        <v>620</v>
      </c>
      <c r="B19" s="49" t="n">
        <v>0</v>
      </c>
      <c r="C19" s="49" t="n">
        <v>0</v>
      </c>
      <c r="D19" s="49" t="n">
        <v>5</v>
      </c>
      <c r="E19" s="50" t="n">
        <f aca="false">INDEX($B19:$D19,MATCH(13W_FORECAST!$C$4,$B$4:$D$4,0))</f>
        <v>0</v>
      </c>
      <c r="F19" s="9" t="s">
        <v>592</v>
      </c>
      <c r="G19" s="14" t="s">
        <v>593</v>
      </c>
      <c r="H19" s="11" t="s">
        <v>621</v>
      </c>
    </row>
    <row r="20" customFormat="false" ht="15" hidden="false" customHeight="false" outlineLevel="0" collapsed="false">
      <c r="A20" s="9" t="s">
        <v>622</v>
      </c>
      <c r="B20" s="56" t="s">
        <v>615</v>
      </c>
      <c r="C20" s="56" t="s">
        <v>615</v>
      </c>
      <c r="D20" s="56" t="s">
        <v>615</v>
      </c>
      <c r="E20" s="57" t="str">
        <f aca="false">INDEX($B20:$D20,MATCH(13W_FORECAST!$C$4,$B$4:$D$4,0))</f>
        <v>Even</v>
      </c>
      <c r="F20" s="9" t="s">
        <v>616</v>
      </c>
      <c r="G20" s="14" t="s">
        <v>593</v>
      </c>
      <c r="H20" s="11" t="s">
        <v>623</v>
      </c>
    </row>
    <row r="21" customFormat="false" ht="22.35" hidden="false" customHeight="false" outlineLevel="0" collapsed="false">
      <c r="A21" s="9" t="s">
        <v>624</v>
      </c>
      <c r="B21" s="51" t="n">
        <v>6644</v>
      </c>
      <c r="C21" s="51" t="n">
        <v>6644</v>
      </c>
      <c r="D21" s="51" t="n">
        <v>6644</v>
      </c>
      <c r="E21" s="27" t="n">
        <f aca="false">INDEX($B21:$D21,MATCH(13W_FORECAST!$C$4,$B$4:$D$4,0))</f>
        <v>6644</v>
      </c>
      <c r="F21" s="9" t="s">
        <v>258</v>
      </c>
      <c r="G21" s="9" t="s">
        <v>589</v>
      </c>
      <c r="H21" s="11" t="s">
        <v>625</v>
      </c>
    </row>
    <row r="22" customFormat="false" ht="15" hidden="false" customHeight="false" outlineLevel="0" collapsed="false">
      <c r="A22" s="9" t="s">
        <v>626</v>
      </c>
      <c r="B22" s="56" t="s">
        <v>627</v>
      </c>
      <c r="C22" s="56" t="s">
        <v>627</v>
      </c>
      <c r="D22" s="56" t="s">
        <v>627</v>
      </c>
      <c r="E22" s="57" t="str">
        <f aca="false">INDEX($B22:$D22,MATCH(13W_FORECAST!$C$4,$B$4:$D$4,0))</f>
        <v>Month-end</v>
      </c>
      <c r="F22" s="9" t="s">
        <v>616</v>
      </c>
      <c r="G22" s="14" t="s">
        <v>593</v>
      </c>
      <c r="H22" s="11" t="s">
        <v>628</v>
      </c>
    </row>
    <row r="23" customFormat="false" ht="15" hidden="false" customHeight="false" outlineLevel="0" collapsed="false">
      <c r="A23" s="9" t="s">
        <v>629</v>
      </c>
      <c r="B23" s="58" t="n">
        <v>1</v>
      </c>
      <c r="C23" s="58" t="n">
        <v>1</v>
      </c>
      <c r="D23" s="58" t="n">
        <v>1</v>
      </c>
      <c r="E23" s="59" t="n">
        <f aca="false">INDEX($B23:$D23,MATCH(13W_FORECAST!$C$4,$B$4:$D$4,0))</f>
        <v>1</v>
      </c>
      <c r="F23" s="9" t="s">
        <v>630</v>
      </c>
      <c r="G23" s="14" t="s">
        <v>593</v>
      </c>
      <c r="H23" s="11" t="s">
        <v>631</v>
      </c>
    </row>
    <row r="24" customFormat="false" ht="15" hidden="false" customHeight="false" outlineLevel="0" collapsed="false">
      <c r="A24" s="9" t="s">
        <v>632</v>
      </c>
      <c r="B24" s="56" t="s">
        <v>627</v>
      </c>
      <c r="C24" s="56" t="s">
        <v>627</v>
      </c>
      <c r="D24" s="56" t="s">
        <v>627</v>
      </c>
      <c r="E24" s="57" t="str">
        <f aca="false">INDEX($B24:$D24,MATCH(13W_FORECAST!$C$4,$B$4:$D$4,0))</f>
        <v>Month-end</v>
      </c>
      <c r="F24" s="9" t="s">
        <v>616</v>
      </c>
      <c r="G24" s="14" t="s">
        <v>593</v>
      </c>
      <c r="H24" s="11" t="s">
        <v>633</v>
      </c>
    </row>
    <row r="25" customFormat="false" ht="15" hidden="false" customHeight="false" outlineLevel="0" collapsed="false">
      <c r="A25" s="9" t="s">
        <v>634</v>
      </c>
      <c r="B25" s="58" t="n">
        <v>1</v>
      </c>
      <c r="C25" s="58" t="n">
        <v>1</v>
      </c>
      <c r="D25" s="58" t="n">
        <v>1</v>
      </c>
      <c r="E25" s="59" t="n">
        <f aca="false">INDEX($B25:$D25,MATCH(13W_FORECAST!$C$4,$B$4:$D$4,0))</f>
        <v>1</v>
      </c>
      <c r="F25" s="9" t="s">
        <v>630</v>
      </c>
      <c r="G25" s="14" t="s">
        <v>593</v>
      </c>
      <c r="H25" s="11" t="s">
        <v>635</v>
      </c>
    </row>
    <row r="26" customFormat="false" ht="15" hidden="false" customHeight="false" outlineLevel="0" collapsed="false">
      <c r="A26" s="9" t="s">
        <v>636</v>
      </c>
      <c r="B26" s="56" t="s">
        <v>615</v>
      </c>
      <c r="C26" s="56" t="s">
        <v>615</v>
      </c>
      <c r="D26" s="56" t="s">
        <v>615</v>
      </c>
      <c r="E26" s="57" t="str">
        <f aca="false">INDEX($B26:$D26,MATCH(13W_FORECAST!$C$4,$B$4:$D$4,0))</f>
        <v>Even</v>
      </c>
      <c r="F26" s="9" t="s">
        <v>616</v>
      </c>
      <c r="G26" s="14" t="s">
        <v>593</v>
      </c>
      <c r="H26" s="11"/>
    </row>
    <row r="27" customFormat="false" ht="15" hidden="false" customHeight="false" outlineLevel="0" collapsed="false">
      <c r="A27" s="9" t="s">
        <v>637</v>
      </c>
      <c r="B27" s="56" t="s">
        <v>615</v>
      </c>
      <c r="C27" s="56" t="s">
        <v>615</v>
      </c>
      <c r="D27" s="56" t="s">
        <v>615</v>
      </c>
      <c r="E27" s="57" t="str">
        <f aca="false">INDEX($B27:$D27,MATCH(13W_FORECAST!$C$4,$B$4:$D$4,0))</f>
        <v>Even</v>
      </c>
      <c r="F27" s="9" t="s">
        <v>616</v>
      </c>
      <c r="G27" s="14" t="s">
        <v>593</v>
      </c>
      <c r="H27" s="11" t="s">
        <v>638</v>
      </c>
    </row>
    <row r="28" customFormat="false" ht="15" hidden="false" customHeight="false" outlineLevel="0" collapsed="false">
      <c r="A28" s="9" t="s">
        <v>639</v>
      </c>
      <c r="B28" s="56" t="s">
        <v>615</v>
      </c>
      <c r="C28" s="56" t="s">
        <v>615</v>
      </c>
      <c r="D28" s="56" t="s">
        <v>615</v>
      </c>
      <c r="E28" s="57" t="str">
        <f aca="false">INDEX($B28:$D28,MATCH(13W_FORECAST!$C$4,$B$4:$D$4,0))</f>
        <v>Even</v>
      </c>
      <c r="F28" s="9" t="s">
        <v>616</v>
      </c>
      <c r="G28" s="14" t="s">
        <v>593</v>
      </c>
      <c r="H28" s="11" t="s">
        <v>640</v>
      </c>
    </row>
    <row r="29" customFormat="false" ht="15" hidden="false" customHeight="false" outlineLevel="0" collapsed="false">
      <c r="A29" s="9" t="s">
        <v>641</v>
      </c>
      <c r="B29" s="51" t="n">
        <v>0</v>
      </c>
      <c r="C29" s="51" t="n">
        <v>0</v>
      </c>
      <c r="D29" s="51" t="n">
        <v>0</v>
      </c>
      <c r="E29" s="27" t="n">
        <f aca="false">INDEX($B29:$D29,MATCH(13W_FORECAST!$C$4,$B$4:$D$4,0))</f>
        <v>0</v>
      </c>
      <c r="F29" s="9" t="s">
        <v>258</v>
      </c>
      <c r="G29" s="14" t="s">
        <v>593</v>
      </c>
      <c r="H29" s="11" t="s">
        <v>642</v>
      </c>
    </row>
    <row r="30" customFormat="false" ht="15" hidden="false" customHeight="false" outlineLevel="0" collapsed="false">
      <c r="A30" s="7" t="s">
        <v>643</v>
      </c>
      <c r="B30" s="8"/>
      <c r="C30" s="8"/>
      <c r="D30" s="8"/>
      <c r="E30" s="8"/>
      <c r="F30" s="8"/>
      <c r="G30" s="8"/>
      <c r="H30" s="8"/>
    </row>
    <row r="31" customFormat="false" ht="22.35" hidden="false" customHeight="false" outlineLevel="0" collapsed="false">
      <c r="A31" s="9" t="s">
        <v>644</v>
      </c>
      <c r="B31" s="49" t="n">
        <v>0</v>
      </c>
      <c r="C31" s="49" t="n">
        <v>50</v>
      </c>
      <c r="D31" s="49" t="n">
        <v>200</v>
      </c>
      <c r="E31" s="50" t="n">
        <f aca="false">INDEX($B31:$D31,MATCH(13W_FORECAST!$C$4,$B$4:$D$4,0))</f>
        <v>0</v>
      </c>
      <c r="F31" s="9" t="s">
        <v>645</v>
      </c>
      <c r="G31" s="14" t="s">
        <v>593</v>
      </c>
      <c r="H31" s="11" t="s">
        <v>646</v>
      </c>
    </row>
    <row r="32" customFormat="false" ht="15" hidden="false" customHeight="false" outlineLevel="0" collapsed="false">
      <c r="A32" s="9" t="s">
        <v>647</v>
      </c>
      <c r="B32" s="54" t="n">
        <v>0.84</v>
      </c>
      <c r="C32" s="54" t="n">
        <v>0.84</v>
      </c>
      <c r="D32" s="54" t="n">
        <v>0.84</v>
      </c>
      <c r="E32" s="55" t="n">
        <f aca="false">INDEX($B32:$D32,MATCH(13W_FORECAST!$C$4,$B$4:$D$4,0))</f>
        <v>0.84</v>
      </c>
      <c r="F32" s="9" t="s">
        <v>608</v>
      </c>
      <c r="G32" s="9" t="s">
        <v>589</v>
      </c>
      <c r="H32" s="11" t="s">
        <v>648</v>
      </c>
    </row>
    <row r="33" customFormat="false" ht="15" hidden="false" customHeight="false" outlineLevel="0" collapsed="false">
      <c r="A33" s="9" t="s">
        <v>649</v>
      </c>
      <c r="B33" s="56" t="s">
        <v>615</v>
      </c>
      <c r="C33" s="56" t="s">
        <v>615</v>
      </c>
      <c r="D33" s="56" t="s">
        <v>615</v>
      </c>
      <c r="E33" s="57" t="str">
        <f aca="false">INDEX($B33:$D33,MATCH(13W_FORECAST!$C$4,$B$4:$D$4,0))</f>
        <v>Even</v>
      </c>
      <c r="F33" s="9" t="s">
        <v>616</v>
      </c>
      <c r="G33" s="14" t="s">
        <v>593</v>
      </c>
      <c r="H33" s="11" t="s">
        <v>650</v>
      </c>
    </row>
    <row r="34" customFormat="false" ht="22.35" hidden="false" customHeight="false" outlineLevel="0" collapsed="false">
      <c r="A34" s="9" t="s">
        <v>651</v>
      </c>
      <c r="B34" s="54" t="n">
        <v>0.043</v>
      </c>
      <c r="C34" s="54" t="n">
        <v>0.043</v>
      </c>
      <c r="D34" s="54" t="n">
        <v>0.043</v>
      </c>
      <c r="E34" s="55" t="n">
        <f aca="false">INDEX($B34:$D34,MATCH(13W_FORECAST!$C$4,$B$4:$D$4,0))</f>
        <v>0.043</v>
      </c>
      <c r="F34" s="9" t="s">
        <v>608</v>
      </c>
      <c r="G34" s="9" t="s">
        <v>652</v>
      </c>
      <c r="H34" s="11" t="s">
        <v>653</v>
      </c>
    </row>
    <row r="35" customFormat="false" ht="15" hidden="false" customHeight="false" outlineLevel="0" collapsed="false">
      <c r="A35" s="9" t="s">
        <v>654</v>
      </c>
      <c r="B35" s="58" t="n">
        <v>1</v>
      </c>
      <c r="C35" s="58" t="n">
        <v>1</v>
      </c>
      <c r="D35" s="58" t="n">
        <v>1</v>
      </c>
      <c r="E35" s="59" t="n">
        <f aca="false">INDEX($B35:$D35,MATCH(13W_FORECAST!$C$4,$B$4:$D$4,0))</f>
        <v>1</v>
      </c>
      <c r="F35" s="9" t="s">
        <v>608</v>
      </c>
      <c r="G35" s="14" t="s">
        <v>593</v>
      </c>
      <c r="H35" s="11" t="s">
        <v>655</v>
      </c>
    </row>
    <row r="36" customFormat="false" ht="15" hidden="false" customHeight="false" outlineLevel="0" collapsed="false">
      <c r="A36" s="7" t="s">
        <v>656</v>
      </c>
      <c r="B36" s="8"/>
      <c r="C36" s="8"/>
      <c r="D36" s="8"/>
      <c r="E36" s="8"/>
      <c r="F36" s="8"/>
      <c r="G36" s="8"/>
      <c r="H36" s="8"/>
    </row>
    <row r="37" customFormat="false" ht="15" hidden="false" customHeight="false" outlineLevel="0" collapsed="false">
      <c r="A37" s="9" t="s">
        <v>657</v>
      </c>
      <c r="B37" s="54" t="n">
        <v>0</v>
      </c>
      <c r="C37" s="54" t="n">
        <v>0</v>
      </c>
      <c r="D37" s="54" t="n">
        <v>0</v>
      </c>
      <c r="E37" s="55" t="n">
        <f aca="false">INDEX($B37:$D37,MATCH(13W_FORECAST!$C$4,$B$4:$D$4,0))</f>
        <v>0</v>
      </c>
      <c r="F37" s="9" t="s">
        <v>608</v>
      </c>
      <c r="G37" s="14" t="s">
        <v>593</v>
      </c>
      <c r="H37" s="11" t="s">
        <v>658</v>
      </c>
    </row>
    <row r="38" customFormat="false" ht="22.35" hidden="false" customHeight="false" outlineLevel="0" collapsed="false">
      <c r="A38" s="9" t="s">
        <v>659</v>
      </c>
      <c r="B38" s="47" t="n">
        <v>46122</v>
      </c>
      <c r="C38" s="47" t="n">
        <v>46122</v>
      </c>
      <c r="D38" s="47" t="n">
        <v>46122</v>
      </c>
      <c r="E38" s="48" t="n">
        <f aca="false">INDEX($B38:$D38,MATCH(13W_FORECAST!$C$4,$B$4:$D$4,0))</f>
        <v>46122</v>
      </c>
      <c r="F38" s="9" t="s">
        <v>588</v>
      </c>
      <c r="G38" s="9" t="s">
        <v>589</v>
      </c>
      <c r="H38" s="11" t="s">
        <v>660</v>
      </c>
    </row>
    <row r="39" customFormat="false" ht="15" hidden="false" customHeight="false" outlineLevel="0" collapsed="false">
      <c r="A39" s="9" t="s">
        <v>661</v>
      </c>
      <c r="B39" s="58" t="n">
        <v>1</v>
      </c>
      <c r="C39" s="58" t="n">
        <v>1</v>
      </c>
      <c r="D39" s="58" t="n">
        <v>1</v>
      </c>
      <c r="E39" s="59" t="n">
        <f aca="false">INDEX($B39:$D39,MATCH(13W_FORECAST!$C$4,$B$4:$D$4,0))</f>
        <v>1</v>
      </c>
      <c r="F39" s="9" t="s">
        <v>630</v>
      </c>
      <c r="G39" s="14" t="s">
        <v>593</v>
      </c>
      <c r="H39" s="11" t="s">
        <v>662</v>
      </c>
    </row>
    <row r="40" customFormat="false" ht="15" hidden="false" customHeight="false" outlineLevel="0" collapsed="false">
      <c r="A40" s="9" t="s">
        <v>663</v>
      </c>
      <c r="B40" s="56" t="s">
        <v>615</v>
      </c>
      <c r="C40" s="56" t="s">
        <v>615</v>
      </c>
      <c r="D40" s="56" t="s">
        <v>615</v>
      </c>
      <c r="E40" s="57" t="str">
        <f aca="false">INDEX($B40:$D40,MATCH(13W_FORECAST!$C$4,$B$4:$D$4,0))</f>
        <v>Even</v>
      </c>
      <c r="F40" s="9" t="s">
        <v>616</v>
      </c>
      <c r="G40" s="14" t="s">
        <v>593</v>
      </c>
      <c r="H40" s="11"/>
    </row>
    <row r="41" customFormat="false" ht="22.35" hidden="false" customHeight="false" outlineLevel="0" collapsed="false">
      <c r="A41" s="9" t="s">
        <v>664</v>
      </c>
      <c r="B41" s="58" t="n">
        <v>1</v>
      </c>
      <c r="C41" s="58" t="n">
        <v>1</v>
      </c>
      <c r="D41" s="58" t="n">
        <v>1</v>
      </c>
      <c r="E41" s="59" t="n">
        <f aca="false">INDEX($B41:$D41,MATCH(13W_FORECAST!$C$4,$B$4:$D$4,0))</f>
        <v>1</v>
      </c>
      <c r="F41" s="9" t="s">
        <v>608</v>
      </c>
      <c r="G41" s="14" t="s">
        <v>593</v>
      </c>
      <c r="H41" s="11" t="s">
        <v>665</v>
      </c>
    </row>
    <row r="42" customFormat="false" ht="15" hidden="false" customHeight="false" outlineLevel="0" collapsed="false">
      <c r="A42" s="9" t="s">
        <v>666</v>
      </c>
      <c r="B42" s="51" t="n">
        <v>0</v>
      </c>
      <c r="C42" s="51" t="n">
        <v>0</v>
      </c>
      <c r="D42" s="51" t="n">
        <v>0</v>
      </c>
      <c r="E42" s="27" t="n">
        <f aca="false">INDEX($B42:$D42,MATCH(13W_FORECAST!$C$4,$B$4:$D$4,0))</f>
        <v>0</v>
      </c>
      <c r="F42" s="9" t="s">
        <v>258</v>
      </c>
      <c r="G42" s="14" t="s">
        <v>593</v>
      </c>
      <c r="H42" s="11" t="s">
        <v>667</v>
      </c>
    </row>
    <row r="43" customFormat="false" ht="15" hidden="false" customHeight="false" outlineLevel="0" collapsed="false">
      <c r="A43" s="7" t="s">
        <v>668</v>
      </c>
      <c r="B43" s="8"/>
      <c r="C43" s="8"/>
      <c r="D43" s="8"/>
      <c r="E43" s="8"/>
      <c r="F43" s="8"/>
      <c r="G43" s="8"/>
      <c r="H43" s="8"/>
    </row>
    <row r="44" customFormat="false" ht="22.35" hidden="false" customHeight="false" outlineLevel="0" collapsed="false">
      <c r="A44" s="9" t="s">
        <v>669</v>
      </c>
      <c r="B44" s="54" t="n">
        <v>0.02</v>
      </c>
      <c r="C44" s="54" t="n">
        <v>0.02</v>
      </c>
      <c r="D44" s="54" t="n">
        <v>0.02</v>
      </c>
      <c r="E44" s="55" t="n">
        <f aca="false">INDEX($B44:$D44,MATCH(13W_FORECAST!$C$4,$B$4:$D$4,0))</f>
        <v>0.02</v>
      </c>
      <c r="F44" s="9" t="s">
        <v>608</v>
      </c>
      <c r="G44" s="9" t="s">
        <v>589</v>
      </c>
      <c r="H44" s="11" t="s">
        <v>670</v>
      </c>
    </row>
    <row r="45" customFormat="false" ht="22.35" hidden="false" customHeight="false" outlineLevel="0" collapsed="false">
      <c r="A45" s="9" t="s">
        <v>671</v>
      </c>
      <c r="B45" s="58" t="n">
        <v>1</v>
      </c>
      <c r="C45" s="58" t="n">
        <v>1</v>
      </c>
      <c r="D45" s="58" t="n">
        <v>1</v>
      </c>
      <c r="E45" s="59" t="n">
        <f aca="false">INDEX($B45:$D45,MATCH(13W_FORECAST!$C$4,$B$4:$D$4,0))</f>
        <v>1</v>
      </c>
      <c r="F45" s="9" t="s">
        <v>608</v>
      </c>
      <c r="G45" s="14" t="s">
        <v>593</v>
      </c>
      <c r="H45" s="11" t="s">
        <v>672</v>
      </c>
    </row>
    <row r="46" customFormat="false" ht="15" hidden="false" customHeight="false" outlineLevel="0" collapsed="false">
      <c r="A46" s="9" t="s">
        <v>673</v>
      </c>
      <c r="B46" s="49" t="n">
        <v>13</v>
      </c>
      <c r="C46" s="49" t="n">
        <v>13</v>
      </c>
      <c r="D46" s="49" t="n">
        <v>13</v>
      </c>
      <c r="E46" s="50" t="n">
        <f aca="false">INDEX($B46:$D46,MATCH(13W_FORECAST!$C$4,$B$4:$D$4,0))</f>
        <v>13</v>
      </c>
      <c r="F46" s="9" t="s">
        <v>674</v>
      </c>
      <c r="G46" s="14" t="s">
        <v>593</v>
      </c>
      <c r="H46" s="11" t="s">
        <v>675</v>
      </c>
    </row>
    <row r="47" customFormat="false" ht="15" hidden="false" customHeight="false" outlineLevel="0" collapsed="false">
      <c r="A47" s="9" t="s">
        <v>676</v>
      </c>
      <c r="B47" s="51" t="n">
        <v>0</v>
      </c>
      <c r="C47" s="51" t="n">
        <v>0</v>
      </c>
      <c r="D47" s="51" t="n">
        <v>0</v>
      </c>
      <c r="E47" s="27" t="n">
        <f aca="false">INDEX($B47:$D47,MATCH(13W_FORECAST!$C$4,$B$4:$D$4,0))</f>
        <v>0</v>
      </c>
      <c r="F47" s="9" t="s">
        <v>258</v>
      </c>
      <c r="G47" s="14" t="s">
        <v>593</v>
      </c>
      <c r="H47" s="11" t="s">
        <v>677</v>
      </c>
    </row>
    <row r="48" customFormat="false" ht="15" hidden="false" customHeight="false" outlineLevel="0" collapsed="false">
      <c r="A48" s="7" t="s">
        <v>678</v>
      </c>
      <c r="B48" s="8"/>
      <c r="C48" s="8"/>
      <c r="D48" s="8"/>
      <c r="E48" s="8"/>
      <c r="F48" s="8"/>
      <c r="G48" s="8"/>
      <c r="H48" s="8"/>
    </row>
    <row r="49" customFormat="false" ht="22.35" hidden="false" customHeight="false" outlineLevel="0" collapsed="false">
      <c r="A49" s="9" t="s">
        <v>679</v>
      </c>
      <c r="B49" s="54" t="n">
        <v>0</v>
      </c>
      <c r="C49" s="54" t="n">
        <v>-0.05</v>
      </c>
      <c r="D49" s="54" t="n">
        <v>-0.1</v>
      </c>
      <c r="E49" s="55" t="n">
        <f aca="false">INDEX($B49:$D49,MATCH(13W_FORECAST!$C$4,$B$4:$D$4,0))</f>
        <v>0</v>
      </c>
      <c r="F49" s="9" t="s">
        <v>608</v>
      </c>
      <c r="G49" s="14" t="s">
        <v>593</v>
      </c>
      <c r="H49" s="11" t="s">
        <v>680</v>
      </c>
    </row>
    <row r="50" customFormat="false" ht="32.8" hidden="false" customHeight="false" outlineLevel="0" collapsed="false">
      <c r="A50" s="9" t="s">
        <v>681</v>
      </c>
      <c r="B50" s="58" t="n">
        <v>0.2</v>
      </c>
      <c r="C50" s="58" t="n">
        <v>0.2</v>
      </c>
      <c r="D50" s="58" t="n">
        <v>0.2</v>
      </c>
      <c r="E50" s="59" t="n">
        <f aca="false">INDEX($B50:$D50,MATCH(13W_FORECAST!$C$4,$B$4:$D$4,0))</f>
        <v>0.2</v>
      </c>
      <c r="F50" s="9" t="s">
        <v>608</v>
      </c>
      <c r="G50" s="14" t="s">
        <v>593</v>
      </c>
      <c r="H50" s="11" t="s">
        <v>682</v>
      </c>
    </row>
    <row r="51" customFormat="false" ht="32.8" hidden="false" customHeight="false" outlineLevel="0" collapsed="false">
      <c r="A51" s="9" t="s">
        <v>683</v>
      </c>
      <c r="B51" s="58" t="n">
        <v>0.05</v>
      </c>
      <c r="C51" s="58" t="n">
        <v>0.05</v>
      </c>
      <c r="D51" s="58" t="n">
        <v>0.05</v>
      </c>
      <c r="E51" s="59" t="n">
        <f aca="false">INDEX($B51:$D51,MATCH(13W_FORECAST!$C$4,$B$4:$D$4,0))</f>
        <v>0.05</v>
      </c>
      <c r="F51" s="9" t="s">
        <v>608</v>
      </c>
      <c r="G51" s="14" t="s">
        <v>593</v>
      </c>
      <c r="H51" s="11" t="s">
        <v>682</v>
      </c>
    </row>
    <row r="52" customFormat="false" ht="32.8" hidden="false" customHeight="false" outlineLevel="0" collapsed="false">
      <c r="A52" s="9" t="s">
        <v>684</v>
      </c>
      <c r="B52" s="58" t="n">
        <v>0.2</v>
      </c>
      <c r="C52" s="58" t="n">
        <v>0.2</v>
      </c>
      <c r="D52" s="58" t="n">
        <v>0.2</v>
      </c>
      <c r="E52" s="59" t="n">
        <f aca="false">INDEX($B52:$D52,MATCH(13W_FORECAST!$C$4,$B$4:$D$4,0))</f>
        <v>0.2</v>
      </c>
      <c r="F52" s="9" t="s">
        <v>608</v>
      </c>
      <c r="G52" s="14" t="s">
        <v>593</v>
      </c>
      <c r="H52" s="11" t="s">
        <v>682</v>
      </c>
    </row>
    <row r="53" customFormat="false" ht="32.8" hidden="false" customHeight="false" outlineLevel="0" collapsed="false">
      <c r="A53" s="9" t="s">
        <v>685</v>
      </c>
      <c r="B53" s="58" t="n">
        <v>0.55</v>
      </c>
      <c r="C53" s="58" t="n">
        <v>0.55</v>
      </c>
      <c r="D53" s="58" t="n">
        <v>0.55</v>
      </c>
      <c r="E53" s="59" t="n">
        <f aca="false">INDEX($B53:$D53,MATCH(13W_FORECAST!$C$4,$B$4:$D$4,0))</f>
        <v>0.55</v>
      </c>
      <c r="F53" s="9" t="s">
        <v>608</v>
      </c>
      <c r="G53" s="14" t="s">
        <v>593</v>
      </c>
      <c r="H53" s="11" t="s">
        <v>682</v>
      </c>
    </row>
    <row r="54" customFormat="false" ht="32.8" hidden="false" customHeight="false" outlineLevel="0" collapsed="false">
      <c r="A54" s="9" t="s">
        <v>686</v>
      </c>
      <c r="B54" s="58" t="n">
        <v>0.25</v>
      </c>
      <c r="C54" s="58" t="n">
        <v>0.25</v>
      </c>
      <c r="D54" s="58" t="n">
        <v>0.25</v>
      </c>
      <c r="E54" s="59" t="n">
        <f aca="false">INDEX($B54:$D54,MATCH(13W_FORECAST!$C$4,$B$4:$D$4,0))</f>
        <v>0.25</v>
      </c>
      <c r="F54" s="9" t="s">
        <v>608</v>
      </c>
      <c r="G54" s="14" t="s">
        <v>593</v>
      </c>
      <c r="H54" s="11" t="s">
        <v>682</v>
      </c>
    </row>
    <row r="55" customFormat="false" ht="32.8" hidden="false" customHeight="false" outlineLevel="0" collapsed="false">
      <c r="A55" s="9" t="s">
        <v>687</v>
      </c>
      <c r="B55" s="58" t="n">
        <v>0.07</v>
      </c>
      <c r="C55" s="58" t="n">
        <v>0.07</v>
      </c>
      <c r="D55" s="58" t="n">
        <v>0.07</v>
      </c>
      <c r="E55" s="59" t="n">
        <f aca="false">INDEX($B55:$D55,MATCH(13W_FORECAST!$C$4,$B$4:$D$4,0))</f>
        <v>0.07</v>
      </c>
      <c r="F55" s="9" t="s">
        <v>608</v>
      </c>
      <c r="G55" s="14" t="s">
        <v>593</v>
      </c>
      <c r="H55" s="11" t="s">
        <v>682</v>
      </c>
    </row>
    <row r="56" customFormat="false" ht="32.8" hidden="false" customHeight="false" outlineLevel="0" collapsed="false">
      <c r="A56" s="9" t="s">
        <v>688</v>
      </c>
      <c r="B56" s="58" t="n">
        <v>0.2</v>
      </c>
      <c r="C56" s="58" t="n">
        <v>0.2</v>
      </c>
      <c r="D56" s="58" t="n">
        <v>0.2</v>
      </c>
      <c r="E56" s="59" t="n">
        <f aca="false">INDEX($B56:$D56,MATCH(13W_FORECAST!$C$4,$B$4:$D$4,0))</f>
        <v>0.2</v>
      </c>
      <c r="F56" s="9" t="s">
        <v>608</v>
      </c>
      <c r="G56" s="14" t="s">
        <v>593</v>
      </c>
      <c r="H56" s="11" t="s">
        <v>682</v>
      </c>
    </row>
    <row r="57" customFormat="false" ht="32.8" hidden="false" customHeight="false" outlineLevel="0" collapsed="false">
      <c r="A57" s="9" t="s">
        <v>689</v>
      </c>
      <c r="B57" s="58" t="n">
        <v>0.48</v>
      </c>
      <c r="C57" s="58" t="n">
        <v>0.48</v>
      </c>
      <c r="D57" s="58" t="n">
        <v>0.48</v>
      </c>
      <c r="E57" s="59" t="n">
        <f aca="false">INDEX($B57:$D57,MATCH(13W_FORECAST!$C$4,$B$4:$D$4,0))</f>
        <v>0.48</v>
      </c>
      <c r="F57" s="9" t="s">
        <v>608</v>
      </c>
      <c r="G57" s="14" t="s">
        <v>593</v>
      </c>
      <c r="H57" s="11" t="s">
        <v>682</v>
      </c>
    </row>
    <row r="58" customFormat="false" ht="15" hidden="false" customHeight="false" outlineLevel="0" collapsed="false">
      <c r="A58" s="9" t="s">
        <v>690</v>
      </c>
      <c r="B58" s="54" t="n">
        <v>0.05</v>
      </c>
      <c r="C58" s="54" t="n">
        <v>0.05</v>
      </c>
      <c r="D58" s="54" t="n">
        <v>0.05</v>
      </c>
      <c r="E58" s="55" t="n">
        <f aca="false">INDEX($B58:$D58,MATCH(13W_FORECAST!$C$4,$B$4:$D$4,0))</f>
        <v>0.05</v>
      </c>
      <c r="F58" s="9" t="s">
        <v>608</v>
      </c>
      <c r="G58" s="14" t="s">
        <v>593</v>
      </c>
      <c r="H58" s="11" t="s">
        <v>691</v>
      </c>
    </row>
    <row r="59" customFormat="false" ht="15" hidden="false" customHeight="false" outlineLevel="0" collapsed="false">
      <c r="A59" s="7" t="s">
        <v>692</v>
      </c>
      <c r="B59" s="8"/>
      <c r="C59" s="8"/>
      <c r="D59" s="8"/>
      <c r="E59" s="8"/>
      <c r="F59" s="8"/>
      <c r="G59" s="8"/>
      <c r="H59" s="8"/>
    </row>
    <row r="60" customFormat="false" ht="22.35" hidden="false" customHeight="false" outlineLevel="0" collapsed="false">
      <c r="A60" s="9" t="s">
        <v>693</v>
      </c>
      <c r="B60" s="49" t="n">
        <v>3</v>
      </c>
      <c r="C60" s="49" t="n">
        <v>3</v>
      </c>
      <c r="D60" s="49" t="n">
        <v>3</v>
      </c>
      <c r="E60" s="50" t="n">
        <f aca="false">INDEX($B60:$D60,MATCH(13W_FORECAST!$C$4,$B$4:$D$4,0))</f>
        <v>3</v>
      </c>
      <c r="F60" s="9" t="s">
        <v>674</v>
      </c>
      <c r="G60" s="14" t="s">
        <v>593</v>
      </c>
      <c r="H60" s="11" t="s">
        <v>694</v>
      </c>
    </row>
    <row r="61" customFormat="false" ht="15" hidden="false" customHeight="false" outlineLevel="0" collapsed="false">
      <c r="A61" s="9" t="s">
        <v>695</v>
      </c>
      <c r="B61" s="60" t="n">
        <v>1.1</v>
      </c>
      <c r="C61" s="60" t="n">
        <v>1.1</v>
      </c>
      <c r="D61" s="60" t="n">
        <v>1.1</v>
      </c>
      <c r="E61" s="61" t="n">
        <f aca="false">INDEX($B61:$D61,MATCH(13W_FORECAST!$C$4,$B$4:$D$4,0))</f>
        <v>1.1</v>
      </c>
      <c r="F61" s="9" t="s">
        <v>630</v>
      </c>
      <c r="G61" s="14" t="s">
        <v>593</v>
      </c>
      <c r="H61" s="11" t="s">
        <v>696</v>
      </c>
    </row>
    <row r="62" customFormat="false" ht="15" hidden="false" customHeight="false" outlineLevel="0" collapsed="false">
      <c r="A62" s="7" t="s">
        <v>697</v>
      </c>
      <c r="B62" s="8"/>
      <c r="C62" s="8"/>
      <c r="D62" s="8"/>
      <c r="E62" s="8"/>
      <c r="F62" s="8"/>
      <c r="G62" s="8"/>
      <c r="H62" s="8"/>
    </row>
    <row r="63" customFormat="false" ht="15" hidden="false" customHeight="false" outlineLevel="0" collapsed="false">
      <c r="A63" s="9" t="s">
        <v>698</v>
      </c>
      <c r="B63" s="51" t="n">
        <v>1000</v>
      </c>
      <c r="C63" s="51" t="n">
        <v>1000</v>
      </c>
      <c r="D63" s="51" t="n">
        <v>1000</v>
      </c>
      <c r="E63" s="27" t="n">
        <f aca="false">INDEX($B63:$D63,MATCH(13W_FORECAST!$C$4,$B$4:$D$4,0))</f>
        <v>1000</v>
      </c>
      <c r="F63" s="9" t="s">
        <v>258</v>
      </c>
      <c r="G63" s="14" t="s">
        <v>593</v>
      </c>
      <c r="H63" s="11" t="s">
        <v>699</v>
      </c>
    </row>
    <row r="64" customFormat="false" ht="15" hidden="false" customHeight="false" outlineLevel="0" collapsed="false">
      <c r="A64" s="9" t="s">
        <v>700</v>
      </c>
      <c r="B64" s="51" t="n">
        <v>500</v>
      </c>
      <c r="C64" s="51" t="n">
        <v>500</v>
      </c>
      <c r="D64" s="51" t="n">
        <v>500</v>
      </c>
      <c r="E64" s="27" t="n">
        <f aca="false">INDEX($B64:$D64,MATCH(13W_FORECAST!$C$4,$B$4:$D$4,0))</f>
        <v>500</v>
      </c>
      <c r="F64" s="9" t="s">
        <v>258</v>
      </c>
      <c r="G64" s="14" t="s">
        <v>593</v>
      </c>
      <c r="H64" s="11"/>
    </row>
    <row r="65" customFormat="false" ht="15" hidden="false" customHeight="false" outlineLevel="0" collapsed="false">
      <c r="A65" s="9" t="s">
        <v>701</v>
      </c>
      <c r="B65" s="54" t="n">
        <v>0.02</v>
      </c>
      <c r="C65" s="54" t="n">
        <v>0.02</v>
      </c>
      <c r="D65" s="54" t="n">
        <v>0.02</v>
      </c>
      <c r="E65" s="55" t="n">
        <f aca="false">INDEX($B65:$D65,MATCH(13W_FORECAST!$C$4,$B$4:$D$4,0))</f>
        <v>0.02</v>
      </c>
      <c r="F65" s="9" t="s">
        <v>608</v>
      </c>
      <c r="G65" s="14" t="s">
        <v>593</v>
      </c>
      <c r="H65" s="11" t="s">
        <v>702</v>
      </c>
    </row>
    <row r="66" customFormat="false" ht="15" hidden="false" customHeight="false" outlineLevel="0" collapsed="false">
      <c r="A66" s="9" t="s">
        <v>703</v>
      </c>
      <c r="B66" s="54" t="n">
        <v>0.01</v>
      </c>
      <c r="C66" s="54" t="n">
        <v>0.01</v>
      </c>
      <c r="D66" s="54" t="n">
        <v>0.01</v>
      </c>
      <c r="E66" s="55" t="n">
        <f aca="false">INDEX($B66:$D66,MATCH(13W_FORECAST!$C$4,$B$4:$D$4,0))</f>
        <v>0.01</v>
      </c>
      <c r="F66" s="9" t="s">
        <v>608</v>
      </c>
      <c r="G66" s="14" t="s">
        <v>593</v>
      </c>
      <c r="H66" s="11"/>
    </row>
    <row r="67" customFormat="false" ht="15" hidden="false" customHeight="false" outlineLevel="0" collapsed="false">
      <c r="A67" s="9" t="s">
        <v>704</v>
      </c>
      <c r="B67" s="49" t="n">
        <v>0</v>
      </c>
      <c r="C67" s="49" t="n">
        <v>0</v>
      </c>
      <c r="D67" s="49" t="n">
        <v>0</v>
      </c>
      <c r="E67" s="50" t="n">
        <f aca="false">INDEX($B67:$D67,MATCH(13W_FORECAST!$C$4,$B$4:$D$4,0))</f>
        <v>0</v>
      </c>
      <c r="F67" s="9" t="s">
        <v>592</v>
      </c>
      <c r="G67" s="14" t="s">
        <v>593</v>
      </c>
      <c r="H67" s="11" t="s">
        <v>705</v>
      </c>
    </row>
    <row r="68" customFormat="false" ht="15" hidden="false" customHeight="false" outlineLevel="0" collapsed="false">
      <c r="A68" s="9" t="s">
        <v>706</v>
      </c>
      <c r="B68" s="49" t="n">
        <v>7</v>
      </c>
      <c r="C68" s="49" t="n">
        <v>7</v>
      </c>
      <c r="D68" s="49" t="n">
        <v>7</v>
      </c>
      <c r="E68" s="50" t="n">
        <f aca="false">INDEX($B68:$D68,MATCH(13W_FORECAST!$C$4,$B$4:$D$4,0))</f>
        <v>7</v>
      </c>
      <c r="F68" s="9" t="s">
        <v>592</v>
      </c>
      <c r="G68" s="14" t="s">
        <v>593</v>
      </c>
      <c r="H68" s="11"/>
    </row>
    <row r="69" customFormat="false" ht="15" hidden="false" customHeight="false" outlineLevel="0" collapsed="false">
      <c r="A69" s="9" t="s">
        <v>707</v>
      </c>
      <c r="B69" s="51" t="n">
        <v>500</v>
      </c>
      <c r="C69" s="51" t="n">
        <v>500</v>
      </c>
      <c r="D69" s="51" t="n">
        <v>500</v>
      </c>
      <c r="E69" s="27" t="n">
        <f aca="false">INDEX($B69:$D69,MATCH(13W_FORECAST!$C$4,$B$4:$D$4,0))</f>
        <v>500</v>
      </c>
      <c r="F69" s="9" t="s">
        <v>258</v>
      </c>
      <c r="G69" s="14" t="s">
        <v>593</v>
      </c>
      <c r="H69" s="11" t="s">
        <v>708</v>
      </c>
    </row>
    <row r="70" customFormat="false" ht="15" hidden="false" customHeight="false" outlineLevel="0" collapsed="false">
      <c r="A70" s="9" t="s">
        <v>709</v>
      </c>
      <c r="B70" s="60" t="n">
        <v>0.01</v>
      </c>
      <c r="C70" s="60" t="n">
        <v>0.01</v>
      </c>
      <c r="D70" s="60" t="n">
        <v>0.01</v>
      </c>
      <c r="E70" s="61" t="n">
        <f aca="false">INDEX($B70:$D70,MATCH(13W_FORECAST!$C$4,$B$4:$D$4,0))</f>
        <v>0.01</v>
      </c>
      <c r="F70" s="9" t="s">
        <v>258</v>
      </c>
      <c r="G70" s="14" t="s">
        <v>593</v>
      </c>
      <c r="H70" s="11" t="s">
        <v>710</v>
      </c>
    </row>
    <row r="72" customFormat="false" ht="15" hidden="false" customHeight="false" outlineLevel="0" collapsed="false">
      <c r="A72" s="5" t="s">
        <v>711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8" min="2" style="0" width="12"/>
    <col collapsed="false" customWidth="true" hidden="false" outlineLevel="0" max="9" min="9" style="0" width="9"/>
    <col collapsed="false" customWidth="true" hidden="false" outlineLevel="0" max="10" min="10" style="0" width="18"/>
    <col collapsed="false" customWidth="true" hidden="false" outlineLevel="0" max="11" min="11" style="0" width="70"/>
  </cols>
  <sheetData>
    <row r="1" customFormat="false" ht="16.15" hidden="false" customHeight="false" outlineLevel="0" collapsed="false">
      <c r="A1" s="1" t="s">
        <v>712</v>
      </c>
    </row>
    <row r="2" customFormat="false" ht="15" hidden="false" customHeight="false" outlineLevel="0" collapsed="false">
      <c r="A2" s="5" t="s">
        <v>713</v>
      </c>
    </row>
    <row r="4" customFormat="false" ht="23.85" hidden="false" customHeight="false" outlineLevel="0" collapsed="false">
      <c r="A4" s="15" t="s">
        <v>522</v>
      </c>
      <c r="B4" s="16" t="s">
        <v>40</v>
      </c>
      <c r="C4" s="16" t="s">
        <v>41</v>
      </c>
      <c r="D4" s="16" t="s">
        <v>42</v>
      </c>
      <c r="E4" s="16" t="s">
        <v>579</v>
      </c>
      <c r="F4" s="16" t="s">
        <v>580</v>
      </c>
      <c r="G4" s="16" t="s">
        <v>581</v>
      </c>
      <c r="H4" s="16" t="s">
        <v>582</v>
      </c>
      <c r="I4" s="16" t="s">
        <v>583</v>
      </c>
      <c r="J4" s="16" t="s">
        <v>584</v>
      </c>
      <c r="K4" s="16" t="s">
        <v>45</v>
      </c>
    </row>
    <row r="5" customFormat="false" ht="15" hidden="false" customHeight="false" outlineLevel="0" collapsed="false">
      <c r="A5" s="7" t="s">
        <v>714</v>
      </c>
      <c r="B5" s="8"/>
      <c r="C5" s="8"/>
      <c r="D5" s="8"/>
      <c r="E5" s="8"/>
      <c r="F5" s="8"/>
      <c r="G5" s="8"/>
      <c r="H5" s="8"/>
      <c r="I5" s="8"/>
      <c r="J5" s="8"/>
      <c r="K5" s="8"/>
    </row>
    <row r="6" customFormat="false" ht="15" hidden="false" customHeight="false" outlineLevel="0" collapsed="false">
      <c r="A6" s="9" t="s">
        <v>715</v>
      </c>
      <c r="B6" s="62" t="n">
        <f aca="false">HISTORICAL_IS!E6</f>
        <v>51680</v>
      </c>
      <c r="C6" s="62" t="n">
        <f aca="false">HISTORICAL_IS!F6</f>
        <v>52479</v>
      </c>
      <c r="D6" s="62" t="n">
        <f aca="false">HISTORICAL_IS!G6</f>
        <v>50503</v>
      </c>
      <c r="E6" s="20"/>
      <c r="F6" s="20"/>
      <c r="G6" s="20"/>
      <c r="H6" s="20"/>
      <c r="I6" s="9" t="s">
        <v>258</v>
      </c>
      <c r="J6" s="9" t="s">
        <v>716</v>
      </c>
      <c r="K6" s="11"/>
    </row>
    <row r="7" customFormat="false" ht="15" hidden="false" customHeight="false" outlineLevel="0" collapsed="false">
      <c r="A7" s="9" t="s">
        <v>717</v>
      </c>
      <c r="B7" s="20"/>
      <c r="C7" s="63" t="n">
        <f aca="false">HISTORICAL_IS!F19</f>
        <v>0.0154605263157894</v>
      </c>
      <c r="D7" s="63" t="n">
        <f aca="false">HISTORICAL_IS!G19</f>
        <v>-0.0376531565006956</v>
      </c>
      <c r="E7" s="20"/>
      <c r="F7" s="20"/>
      <c r="G7" s="20"/>
      <c r="H7" s="20"/>
      <c r="I7" s="9" t="s">
        <v>258</v>
      </c>
      <c r="J7" s="9" t="s">
        <v>652</v>
      </c>
      <c r="K7" s="11"/>
    </row>
    <row r="8" customFormat="false" ht="15" hidden="false" customHeight="false" outlineLevel="0" collapsed="false">
      <c r="A8" s="9" t="s">
        <v>718</v>
      </c>
      <c r="B8" s="20"/>
      <c r="C8" s="20"/>
      <c r="D8" s="20"/>
      <c r="E8" s="64" t="n">
        <f aca="false">ASSUMPTIONS!$B$14</f>
        <v>0</v>
      </c>
      <c r="F8" s="64" t="n">
        <f aca="false">ASSUMPTIONS!$C$14</f>
        <v>0</v>
      </c>
      <c r="G8" s="64" t="n">
        <f aca="false">ASSUMPTIONS!$D$14</f>
        <v>0</v>
      </c>
      <c r="H8" s="65" t="n">
        <f aca="false">INDEX(E8:G8,MATCH(13W_FORECAST!$C$4,$E$4:$G$4,0))</f>
        <v>0</v>
      </c>
      <c r="I8" s="9" t="s">
        <v>608</v>
      </c>
      <c r="J8" s="9" t="s">
        <v>593</v>
      </c>
      <c r="K8" s="11"/>
    </row>
    <row r="9" customFormat="false" ht="15" hidden="false" customHeight="false" outlineLevel="0" collapsed="false">
      <c r="A9" s="9" t="s">
        <v>719</v>
      </c>
      <c r="B9" s="20"/>
      <c r="C9" s="20"/>
      <c r="D9" s="20"/>
      <c r="E9" s="66" t="n">
        <f aca="false">$D$6*(1+E8)</f>
        <v>50503</v>
      </c>
      <c r="F9" s="66" t="n">
        <f aca="false">$D$6*(1+F8)</f>
        <v>50503</v>
      </c>
      <c r="G9" s="66" t="n">
        <f aca="false">$D$6*(1+G8)</f>
        <v>50503</v>
      </c>
      <c r="H9" s="67" t="n">
        <f aca="false">INDEX(E9:G9,MATCH(13W_FORECAST!$C$4,$E$4:$G$4,0))</f>
        <v>50503</v>
      </c>
      <c r="I9" s="9" t="s">
        <v>258</v>
      </c>
      <c r="J9" s="9" t="s">
        <v>720</v>
      </c>
      <c r="K9" s="11"/>
    </row>
    <row r="10" customFormat="false" ht="15" hidden="false" customHeight="false" outlineLevel="0" collapsed="false">
      <c r="A10" s="9" t="s">
        <v>721</v>
      </c>
      <c r="B10" s="20"/>
      <c r="C10" s="20"/>
      <c r="D10" s="20"/>
      <c r="E10" s="64" t="n">
        <f aca="false">ASSUMPTIONS!$B$15</f>
        <v>0</v>
      </c>
      <c r="F10" s="64" t="n">
        <f aca="false">ASSUMPTIONS!$C$15</f>
        <v>0</v>
      </c>
      <c r="G10" s="64" t="n">
        <f aca="false">ASSUMPTIONS!$D$15</f>
        <v>-0.05</v>
      </c>
      <c r="H10" s="65" t="n">
        <f aca="false">INDEX(E10:G10,MATCH(13W_FORECAST!$C$4,$E$4:$G$4,0))</f>
        <v>0</v>
      </c>
      <c r="I10" s="9" t="s">
        <v>608</v>
      </c>
      <c r="J10" s="9" t="s">
        <v>593</v>
      </c>
      <c r="K10" s="11"/>
    </row>
    <row r="11" customFormat="false" ht="22.35" hidden="false" customHeight="false" outlineLevel="0" collapsed="false">
      <c r="A11" s="9" t="s">
        <v>722</v>
      </c>
      <c r="B11" s="20"/>
      <c r="C11" s="20"/>
      <c r="D11" s="20"/>
      <c r="E11" s="66" t="n">
        <f aca="false">E9*(1+E10)</f>
        <v>50503</v>
      </c>
      <c r="F11" s="66" t="n">
        <f aca="false">F9*(1+F10)</f>
        <v>50503</v>
      </c>
      <c r="G11" s="66" t="n">
        <f aca="false">G9*(1+G10)</f>
        <v>47977.85</v>
      </c>
      <c r="H11" s="67" t="n">
        <f aca="false">INDEX(E11:G11,MATCH(13W_FORECAST!$C$4,$E$4:$G$4,0))</f>
        <v>50503</v>
      </c>
      <c r="I11" s="9" t="s">
        <v>258</v>
      </c>
      <c r="J11" s="9" t="s">
        <v>720</v>
      </c>
      <c r="K11" s="11" t="s">
        <v>723</v>
      </c>
    </row>
    <row r="12" customFormat="false" ht="15" hidden="false" customHeight="false" outlineLevel="0" collapsed="false">
      <c r="A12" s="9" t="s">
        <v>724</v>
      </c>
      <c r="B12" s="20"/>
      <c r="C12" s="20"/>
      <c r="D12" s="20"/>
      <c r="E12" s="66" t="n">
        <f aca="false">E11/52</f>
        <v>971.211538461539</v>
      </c>
      <c r="F12" s="66" t="n">
        <f aca="false">F11/52</f>
        <v>971.211538461539</v>
      </c>
      <c r="G12" s="66" t="n">
        <f aca="false">G11/52</f>
        <v>922.650961538462</v>
      </c>
      <c r="H12" s="67" t="n">
        <f aca="false">INDEX(E12:G12,MATCH(13W_FORECAST!$C$4,$E$4:$G$4,0))</f>
        <v>971.211538461539</v>
      </c>
      <c r="I12" s="9" t="s">
        <v>258</v>
      </c>
      <c r="J12" s="9" t="s">
        <v>720</v>
      </c>
      <c r="K12" s="11"/>
    </row>
    <row r="13" customFormat="false" ht="15" hidden="false" customHeight="false" outlineLevel="0" collapsed="false">
      <c r="A13" s="9" t="s">
        <v>725</v>
      </c>
      <c r="B13" s="20"/>
      <c r="C13" s="20"/>
      <c r="D13" s="20"/>
      <c r="E13" s="66" t="n">
        <f aca="false">E11/365</f>
        <v>138.364383561644</v>
      </c>
      <c r="F13" s="66" t="n">
        <f aca="false">F11/365</f>
        <v>138.364383561644</v>
      </c>
      <c r="G13" s="66" t="n">
        <f aca="false">G11/365</f>
        <v>131.446164383562</v>
      </c>
      <c r="H13" s="67" t="n">
        <f aca="false">INDEX(E13:G13,MATCH(13W_FORECAST!$C$4,$E$4:$G$4,0))</f>
        <v>138.364383561644</v>
      </c>
      <c r="I13" s="9" t="s">
        <v>258</v>
      </c>
      <c r="J13" s="9" t="s">
        <v>720</v>
      </c>
      <c r="K13" s="11"/>
    </row>
    <row r="14" customFormat="false" ht="15" hidden="false" customHeight="false" outlineLevel="0" collapsed="false">
      <c r="A14" s="7" t="s">
        <v>726</v>
      </c>
      <c r="B14" s="8"/>
      <c r="C14" s="8"/>
      <c r="D14" s="8"/>
      <c r="E14" s="8"/>
      <c r="F14" s="8"/>
      <c r="G14" s="8"/>
      <c r="H14" s="8"/>
      <c r="I14" s="8"/>
      <c r="J14" s="8"/>
      <c r="K14" s="8"/>
    </row>
    <row r="15" customFormat="false" ht="15" hidden="false" customHeight="false" outlineLevel="0" collapsed="false">
      <c r="A15" s="9" t="s">
        <v>489</v>
      </c>
      <c r="B15" s="62" t="n">
        <f aca="false">HISTORICAL_CF!E19</f>
        <v>10326</v>
      </c>
      <c r="C15" s="62" t="n">
        <f aca="false">HISTORICAL_CF!F19</f>
        <v>10913</v>
      </c>
      <c r="D15" s="62" t="n">
        <f aca="false">HISTORICAL_CF!G19</f>
        <v>10772</v>
      </c>
      <c r="E15" s="20"/>
      <c r="F15" s="20"/>
      <c r="G15" s="20"/>
      <c r="H15" s="20"/>
      <c r="I15" s="9" t="s">
        <v>258</v>
      </c>
      <c r="J15" s="9" t="s">
        <v>716</v>
      </c>
      <c r="K15" s="11"/>
    </row>
    <row r="16" customFormat="false" ht="15" hidden="false" customHeight="false" outlineLevel="0" collapsed="false">
      <c r="A16" s="9" t="s">
        <v>54</v>
      </c>
      <c r="B16" s="62" t="n">
        <f aca="false">HISTORICAL_IS!E8</f>
        <v>8998</v>
      </c>
      <c r="C16" s="62" t="n">
        <f aca="false">HISTORICAL_IS!F8</f>
        <v>8829</v>
      </c>
      <c r="D16" s="62" t="n">
        <f aca="false">HISTORICAL_IS!G8</f>
        <v>9037</v>
      </c>
      <c r="E16" s="20"/>
      <c r="F16" s="20"/>
      <c r="G16" s="20"/>
      <c r="H16" s="20"/>
      <c r="I16" s="9" t="s">
        <v>258</v>
      </c>
      <c r="J16" s="9" t="s">
        <v>716</v>
      </c>
      <c r="K16" s="11"/>
    </row>
    <row r="17" customFormat="false" ht="15" hidden="false" customHeight="false" outlineLevel="0" collapsed="false">
      <c r="A17" s="9" t="s">
        <v>727</v>
      </c>
      <c r="B17" s="63" t="n">
        <f aca="false">HISTORICAL_CF!E72</f>
        <v>1.14758835296733</v>
      </c>
      <c r="C17" s="63" t="n">
        <f aca="false">HISTORICAL_CF!F72</f>
        <v>1.23604032166723</v>
      </c>
      <c r="D17" s="63" t="n">
        <f aca="false">HISTORICAL_CF!G72</f>
        <v>1.19198849175611</v>
      </c>
      <c r="E17" s="20"/>
      <c r="F17" s="20"/>
      <c r="G17" s="20"/>
      <c r="H17" s="20"/>
      <c r="I17" s="9" t="s">
        <v>258</v>
      </c>
      <c r="J17" s="9" t="s">
        <v>652</v>
      </c>
      <c r="K17" s="11"/>
    </row>
    <row r="18" customFormat="false" ht="15" hidden="false" customHeight="false" outlineLevel="0" collapsed="false">
      <c r="A18" s="9" t="s">
        <v>728</v>
      </c>
      <c r="B18" s="64" t="n">
        <f aca="false">IFERROR(B15/B6,"")</f>
        <v>0.199806501547988</v>
      </c>
      <c r="C18" s="64" t="n">
        <f aca="false">IFERROR(C15/C6,"")</f>
        <v>0.207949846605309</v>
      </c>
      <c r="D18" s="64" t="n">
        <f aca="false">IFERROR(D15/D6,"")</f>
        <v>0.213294259746946</v>
      </c>
      <c r="E18" s="20"/>
      <c r="F18" s="20"/>
      <c r="G18" s="20"/>
      <c r="H18" s="20"/>
      <c r="I18" s="9" t="s">
        <v>258</v>
      </c>
      <c r="J18" s="9" t="s">
        <v>652</v>
      </c>
      <c r="K18" s="11"/>
    </row>
    <row r="19" customFormat="false" ht="15" hidden="false" customHeight="false" outlineLevel="0" collapsed="false">
      <c r="A19" s="9" t="s">
        <v>729</v>
      </c>
      <c r="B19" s="20"/>
      <c r="C19" s="20"/>
      <c r="D19" s="20"/>
      <c r="E19" s="66" t="n">
        <f aca="false">E9*$D$18</f>
        <v>10772</v>
      </c>
      <c r="F19" s="66" t="n">
        <f aca="false">F9*$D$18</f>
        <v>10772</v>
      </c>
      <c r="G19" s="66" t="n">
        <f aca="false">G9*$D$18</f>
        <v>10772</v>
      </c>
      <c r="H19" s="67" t="n">
        <f aca="false">INDEX(E19:G19,MATCH(13W_FORECAST!$C$4,$E$4:$G$4,0))</f>
        <v>10772</v>
      </c>
      <c r="I19" s="9" t="s">
        <v>258</v>
      </c>
      <c r="J19" s="9" t="s">
        <v>720</v>
      </c>
      <c r="K19" s="11" t="s">
        <v>730</v>
      </c>
    </row>
    <row r="20" customFormat="false" ht="15" hidden="false" customHeight="false" outlineLevel="0" collapsed="false">
      <c r="A20" s="9" t="s">
        <v>731</v>
      </c>
      <c r="B20" s="20"/>
      <c r="C20" s="20"/>
      <c r="D20" s="66" t="n">
        <f aca="false">D6-D15</f>
        <v>39731</v>
      </c>
      <c r="E20" s="20"/>
      <c r="F20" s="20"/>
      <c r="G20" s="20"/>
      <c r="H20" s="20"/>
      <c r="I20" s="9" t="s">
        <v>258</v>
      </c>
      <c r="J20" s="9" t="s">
        <v>652</v>
      </c>
      <c r="K20" s="11" t="s">
        <v>732</v>
      </c>
    </row>
    <row r="21" customFormat="false" ht="15" hidden="false" customHeight="false" outlineLevel="0" collapsed="false">
      <c r="A21" s="9" t="s">
        <v>733</v>
      </c>
      <c r="B21" s="20"/>
      <c r="C21" s="20"/>
      <c r="D21" s="62" t="n">
        <f aca="false">ASSUMPTIONS!$B$21</f>
        <v>6644</v>
      </c>
      <c r="E21" s="20"/>
      <c r="F21" s="20"/>
      <c r="G21" s="20"/>
      <c r="H21" s="20"/>
      <c r="I21" s="9" t="s">
        <v>258</v>
      </c>
      <c r="J21" s="9" t="s">
        <v>589</v>
      </c>
      <c r="K21" s="11"/>
    </row>
    <row r="22" customFormat="false" ht="15" hidden="false" customHeight="false" outlineLevel="0" collapsed="false">
      <c r="A22" s="9" t="s">
        <v>734</v>
      </c>
      <c r="B22" s="20"/>
      <c r="C22" s="20"/>
      <c r="D22" s="62" t="n">
        <f aca="false">-(HISTORICAL_CF!G13+HISTORICAL_CF!G14)</f>
        <v>204</v>
      </c>
      <c r="E22" s="20"/>
      <c r="F22" s="20"/>
      <c r="G22" s="20"/>
      <c r="H22" s="20"/>
      <c r="I22" s="9" t="s">
        <v>258</v>
      </c>
      <c r="J22" s="9" t="s">
        <v>652</v>
      </c>
      <c r="K22" s="11" t="s">
        <v>735</v>
      </c>
    </row>
    <row r="23" customFormat="false" ht="15" hidden="false" customHeight="false" outlineLevel="0" collapsed="false">
      <c r="A23" s="9" t="s">
        <v>736</v>
      </c>
      <c r="B23" s="20"/>
      <c r="C23" s="20"/>
      <c r="D23" s="66" t="n">
        <f aca="false">D20-D21-D22</f>
        <v>32883</v>
      </c>
      <c r="E23" s="20"/>
      <c r="F23" s="20"/>
      <c r="G23" s="20"/>
      <c r="H23" s="20"/>
      <c r="I23" s="9" t="s">
        <v>258</v>
      </c>
      <c r="J23" s="9" t="s">
        <v>652</v>
      </c>
      <c r="K23" s="11"/>
    </row>
    <row r="24" customFormat="false" ht="15" hidden="false" customHeight="false" outlineLevel="0" collapsed="false">
      <c r="A24" s="9" t="s">
        <v>737</v>
      </c>
      <c r="B24" s="20"/>
      <c r="C24" s="20"/>
      <c r="D24" s="20"/>
      <c r="E24" s="66" t="n">
        <f aca="false">$D$23*(1+E8)</f>
        <v>32883</v>
      </c>
      <c r="F24" s="66" t="n">
        <f aca="false">$D$23*(1+F8)</f>
        <v>32883</v>
      </c>
      <c r="G24" s="66" t="n">
        <f aca="false">$D$23*(1+G8)</f>
        <v>32883</v>
      </c>
      <c r="H24" s="67" t="n">
        <f aca="false">INDEX(E24:G24,MATCH(13W_FORECAST!$C$4,$E$4:$G$4,0))</f>
        <v>32883</v>
      </c>
      <c r="I24" s="9" t="s">
        <v>258</v>
      </c>
      <c r="J24" s="9" t="s">
        <v>720</v>
      </c>
      <c r="K24" s="11" t="s">
        <v>738</v>
      </c>
    </row>
    <row r="25" customFormat="false" ht="15" hidden="false" customHeight="false" outlineLevel="0" collapsed="false">
      <c r="A25" s="9" t="s">
        <v>739</v>
      </c>
      <c r="B25" s="20"/>
      <c r="C25" s="20"/>
      <c r="D25" s="20"/>
      <c r="E25" s="66" t="n">
        <f aca="false">$D$21</f>
        <v>6644</v>
      </c>
      <c r="F25" s="66" t="n">
        <f aca="false">$D$21</f>
        <v>6644</v>
      </c>
      <c r="G25" s="66" t="n">
        <f aca="false">$D$21</f>
        <v>6644</v>
      </c>
      <c r="H25" s="67" t="n">
        <f aca="false">INDEX(E25:G25,MATCH(13W_FORECAST!$C$4,$E$4:$G$4,0))</f>
        <v>6644</v>
      </c>
      <c r="I25" s="9" t="s">
        <v>258</v>
      </c>
      <c r="J25" s="9" t="s">
        <v>720</v>
      </c>
      <c r="K25" s="11" t="s">
        <v>740</v>
      </c>
    </row>
    <row r="26" customFormat="false" ht="15" hidden="false" customHeight="false" outlineLevel="0" collapsed="false">
      <c r="A26" s="9" t="s">
        <v>741</v>
      </c>
      <c r="B26" s="20"/>
      <c r="C26" s="20"/>
      <c r="D26" s="20"/>
      <c r="E26" s="66" t="n">
        <f aca="false">$D$22</f>
        <v>204</v>
      </c>
      <c r="F26" s="66" t="n">
        <f aca="false">$D$22</f>
        <v>204</v>
      </c>
      <c r="G26" s="66" t="n">
        <f aca="false">$D$22</f>
        <v>204</v>
      </c>
      <c r="H26" s="67" t="n">
        <f aca="false">INDEX(E26:G26,MATCH(13W_FORECAST!$C$4,$E$4:$G$4,0))</f>
        <v>204</v>
      </c>
      <c r="I26" s="9" t="s">
        <v>258</v>
      </c>
      <c r="J26" s="9" t="s">
        <v>720</v>
      </c>
      <c r="K26" s="11"/>
    </row>
    <row r="27" customFormat="false" ht="15" hidden="false" customHeight="false" outlineLevel="0" collapsed="false">
      <c r="A27" s="9" t="s">
        <v>742</v>
      </c>
      <c r="B27" s="20"/>
      <c r="C27" s="62" t="n">
        <f aca="false">RAW_DATA!F75</f>
        <v>261</v>
      </c>
      <c r="D27" s="62" t="n">
        <f aca="false">RAW_DATA!G75</f>
        <v>243</v>
      </c>
      <c r="E27" s="20"/>
      <c r="F27" s="20"/>
      <c r="G27" s="20"/>
      <c r="H27" s="20"/>
      <c r="I27" s="9" t="s">
        <v>258</v>
      </c>
      <c r="J27" s="9" t="s">
        <v>716</v>
      </c>
      <c r="K27" s="11"/>
    </row>
    <row r="28" customFormat="false" ht="15" hidden="false" customHeight="false" outlineLevel="0" collapsed="false">
      <c r="A28" s="9" t="s">
        <v>743</v>
      </c>
      <c r="B28" s="20"/>
      <c r="C28" s="20"/>
      <c r="D28" s="20"/>
      <c r="E28" s="66" t="n">
        <f aca="false">$D$27</f>
        <v>243</v>
      </c>
      <c r="F28" s="66" t="n">
        <f aca="false">$D$27</f>
        <v>243</v>
      </c>
      <c r="G28" s="66" t="n">
        <f aca="false">$D$27</f>
        <v>243</v>
      </c>
      <c r="H28" s="67" t="n">
        <f aca="false">INDEX(E28:G28,MATCH(13W_FORECAST!$C$4,$E$4:$G$4,0))</f>
        <v>243</v>
      </c>
      <c r="I28" s="9" t="s">
        <v>258</v>
      </c>
      <c r="J28" s="9" t="s">
        <v>720</v>
      </c>
      <c r="K28" s="11"/>
    </row>
    <row r="29" customFormat="false" ht="15" hidden="false" customHeight="false" outlineLevel="0" collapsed="false">
      <c r="A29" s="7" t="s">
        <v>744</v>
      </c>
      <c r="B29" s="8"/>
      <c r="C29" s="8"/>
      <c r="D29" s="8"/>
      <c r="E29" s="8"/>
      <c r="F29" s="8"/>
      <c r="G29" s="8"/>
      <c r="H29" s="8"/>
      <c r="I29" s="8"/>
      <c r="J29" s="8"/>
      <c r="K29" s="8"/>
    </row>
    <row r="30" customFormat="false" ht="15" hidden="false" customHeight="false" outlineLevel="0" collapsed="false">
      <c r="A30" s="9" t="s">
        <v>745</v>
      </c>
      <c r="B30" s="20"/>
      <c r="C30" s="62" t="n">
        <f aca="false">HISTORICAL_BS!F6</f>
        <v>5177</v>
      </c>
      <c r="D30" s="62" t="n">
        <f aca="false">HISTORICAL_BS!G6</f>
        <v>4043</v>
      </c>
      <c r="E30" s="20"/>
      <c r="F30" s="20"/>
      <c r="G30" s="20"/>
      <c r="H30" s="20"/>
      <c r="I30" s="9" t="s">
        <v>258</v>
      </c>
      <c r="J30" s="9" t="s">
        <v>716</v>
      </c>
      <c r="K30" s="11" t="s">
        <v>746</v>
      </c>
    </row>
    <row r="31" customFormat="false" ht="15" hidden="false" customHeight="false" outlineLevel="0" collapsed="false">
      <c r="A31" s="9" t="s">
        <v>747</v>
      </c>
      <c r="B31" s="20"/>
      <c r="C31" s="62" t="n">
        <f aca="false">HISTORICAL_BS!F7</f>
        <v>4227</v>
      </c>
      <c r="D31" s="62" t="n">
        <f aca="false">HISTORICAL_BS!G7</f>
        <v>4852</v>
      </c>
      <c r="E31" s="20"/>
      <c r="F31" s="20"/>
      <c r="G31" s="20"/>
      <c r="H31" s="20"/>
      <c r="I31" s="9" t="s">
        <v>258</v>
      </c>
      <c r="J31" s="9" t="s">
        <v>716</v>
      </c>
      <c r="K31" s="11"/>
    </row>
    <row r="32" customFormat="false" ht="15" hidden="false" customHeight="false" outlineLevel="0" collapsed="false">
      <c r="A32" s="9" t="s">
        <v>748</v>
      </c>
      <c r="B32" s="20"/>
      <c r="C32" s="62" t="n">
        <f aca="false">HISTORICAL_BS!F26</f>
        <v>10258</v>
      </c>
      <c r="D32" s="62" t="n">
        <f aca="false">HISTORICAL_BS!G26</f>
        <v>10994</v>
      </c>
      <c r="E32" s="20"/>
      <c r="F32" s="20"/>
      <c r="G32" s="20"/>
      <c r="H32" s="20"/>
      <c r="I32" s="9" t="s">
        <v>258</v>
      </c>
      <c r="J32" s="9" t="s">
        <v>716</v>
      </c>
      <c r="K32" s="11"/>
    </row>
    <row r="33" customFormat="false" ht="15" hidden="false" customHeight="false" outlineLevel="0" collapsed="false">
      <c r="A33" s="9" t="s">
        <v>51</v>
      </c>
      <c r="B33" s="62" t="n">
        <f aca="false">HISTORICAL_IS!E7</f>
        <v>29180</v>
      </c>
      <c r="C33" s="62" t="n">
        <f aca="false">HISTORICAL_IS!F7</f>
        <v>27976</v>
      </c>
      <c r="D33" s="62" t="n">
        <f aca="false">HISTORICAL_IS!G7</f>
        <v>26794</v>
      </c>
      <c r="E33" s="20"/>
      <c r="F33" s="20"/>
      <c r="G33" s="20"/>
      <c r="H33" s="20"/>
      <c r="I33" s="9" t="s">
        <v>258</v>
      </c>
      <c r="J33" s="9" t="s">
        <v>716</v>
      </c>
      <c r="K33" s="11"/>
    </row>
    <row r="34" customFormat="false" ht="15" hidden="false" customHeight="false" outlineLevel="0" collapsed="false">
      <c r="A34" s="9" t="s">
        <v>749</v>
      </c>
      <c r="B34" s="20"/>
      <c r="C34" s="68" t="n">
        <f aca="false">IFERROR(C31/C6*365,"")</f>
        <v>29.3994740753444</v>
      </c>
      <c r="D34" s="68" t="n">
        <f aca="false">IFERROR(D31/D6*365,"")</f>
        <v>35.0668277132052</v>
      </c>
      <c r="E34" s="20"/>
      <c r="F34" s="20"/>
      <c r="G34" s="20"/>
      <c r="H34" s="20"/>
      <c r="I34" s="9" t="s">
        <v>592</v>
      </c>
      <c r="J34" s="9" t="s">
        <v>652</v>
      </c>
      <c r="K34" s="11"/>
    </row>
    <row r="35" customFormat="false" ht="15" hidden="false" customHeight="false" outlineLevel="0" collapsed="false">
      <c r="A35" s="9" t="s">
        <v>750</v>
      </c>
      <c r="B35" s="20"/>
      <c r="C35" s="68" t="n">
        <f aca="false">IFERROR(C30/C33*365,"")</f>
        <v>67.5437875321704</v>
      </c>
      <c r="D35" s="68" t="n">
        <f aca="false">IFERROR(D30/D33*365,"")</f>
        <v>55.0755766216317</v>
      </c>
      <c r="E35" s="20"/>
      <c r="F35" s="20"/>
      <c r="G35" s="20"/>
      <c r="H35" s="20"/>
      <c r="I35" s="9" t="s">
        <v>592</v>
      </c>
      <c r="J35" s="9" t="s">
        <v>652</v>
      </c>
      <c r="K35" s="11"/>
    </row>
    <row r="36" customFormat="false" ht="15" hidden="false" customHeight="false" outlineLevel="0" collapsed="false">
      <c r="A36" s="9" t="s">
        <v>751</v>
      </c>
      <c r="B36" s="20"/>
      <c r="C36" s="68" t="n">
        <f aca="false">IFERROR(C32/C33*365,"")</f>
        <v>133.835072919645</v>
      </c>
      <c r="D36" s="68" t="n">
        <f aca="false">IFERROR(D32/D33*365,"")</f>
        <v>149.765245950586</v>
      </c>
      <c r="E36" s="20"/>
      <c r="F36" s="20"/>
      <c r="G36" s="20"/>
      <c r="H36" s="20"/>
      <c r="I36" s="9" t="s">
        <v>592</v>
      </c>
      <c r="J36" s="9" t="s">
        <v>652</v>
      </c>
      <c r="K36" s="11" t="s">
        <v>752</v>
      </c>
    </row>
    <row r="37" customFormat="false" ht="15" hidden="false" customHeight="false" outlineLevel="0" collapsed="false">
      <c r="A37" s="9" t="s">
        <v>753</v>
      </c>
      <c r="B37" s="62" t="n">
        <f aca="false">HISTORICAL_CF!E12</f>
        <v>753</v>
      </c>
      <c r="C37" s="62" t="n">
        <f aca="false">HISTORICAL_CF!F12</f>
        <v>-188</v>
      </c>
      <c r="D37" s="62" t="n">
        <f aca="false">HISTORICAL_CF!G12</f>
        <v>116</v>
      </c>
      <c r="E37" s="20"/>
      <c r="F37" s="20"/>
      <c r="G37" s="20"/>
      <c r="H37" s="20"/>
      <c r="I37" s="9" t="s">
        <v>258</v>
      </c>
      <c r="J37" s="9" t="s">
        <v>716</v>
      </c>
      <c r="K37" s="11"/>
    </row>
    <row r="38" customFormat="false" ht="15" hidden="false" customHeight="false" outlineLevel="0" collapsed="false">
      <c r="A38" s="9" t="s">
        <v>754</v>
      </c>
      <c r="B38" s="20"/>
      <c r="C38" s="20"/>
      <c r="D38" s="62" t="n">
        <f aca="false">WORKING_CAPITAL!G19</f>
        <v>1245</v>
      </c>
      <c r="E38" s="20"/>
      <c r="F38" s="20"/>
      <c r="G38" s="20"/>
      <c r="H38" s="20"/>
      <c r="I38" s="9" t="s">
        <v>258</v>
      </c>
      <c r="J38" s="9" t="s">
        <v>652</v>
      </c>
      <c r="K38" s="11" t="s">
        <v>755</v>
      </c>
    </row>
    <row r="39" customFormat="false" ht="15" hidden="false" customHeight="false" outlineLevel="0" collapsed="false">
      <c r="A39" s="9" t="s">
        <v>756</v>
      </c>
      <c r="B39" s="20"/>
      <c r="C39" s="20"/>
      <c r="D39" s="20"/>
      <c r="E39" s="66" t="n">
        <f aca="false">$D$33*(1+E8)/365</f>
        <v>73.4082191780822</v>
      </c>
      <c r="F39" s="66" t="n">
        <f aca="false">$D$33*(1+F8)/365</f>
        <v>73.4082191780822</v>
      </c>
      <c r="G39" s="66" t="n">
        <f aca="false">$D$33*(1+G8)/365</f>
        <v>73.4082191780822</v>
      </c>
      <c r="H39" s="67" t="n">
        <f aca="false">INDEX(E39:G39,MATCH(13W_FORECAST!$C$4,$E$4:$G$4,0))</f>
        <v>73.4082191780822</v>
      </c>
      <c r="I39" s="9" t="s">
        <v>258</v>
      </c>
      <c r="J39" s="9" t="s">
        <v>720</v>
      </c>
      <c r="K39" s="11"/>
    </row>
    <row r="40" customFormat="false" ht="15" hidden="false" customHeight="false" outlineLevel="0" collapsed="false">
      <c r="A40" s="9" t="s">
        <v>612</v>
      </c>
      <c r="B40" s="20"/>
      <c r="C40" s="20"/>
      <c r="D40" s="20"/>
      <c r="E40" s="69" t="n">
        <f aca="false">ASSUMPTIONS!$B$16</f>
        <v>0</v>
      </c>
      <c r="F40" s="69" t="n">
        <f aca="false">ASSUMPTIONS!$C$16</f>
        <v>7</v>
      </c>
      <c r="G40" s="69" t="n">
        <f aca="false">ASSUMPTIONS!$D$16</f>
        <v>15</v>
      </c>
      <c r="H40" s="70" t="n">
        <f aca="false">INDEX(E40:G40,MATCH(13W_FORECAST!$C$4,$E$4:$G$4,0))</f>
        <v>0</v>
      </c>
      <c r="I40" s="9" t="s">
        <v>592</v>
      </c>
      <c r="J40" s="9" t="s">
        <v>593</v>
      </c>
      <c r="K40" s="11"/>
    </row>
    <row r="41" customFormat="false" ht="15" hidden="false" customHeight="false" outlineLevel="0" collapsed="false">
      <c r="A41" s="9" t="s">
        <v>757</v>
      </c>
      <c r="B41" s="20"/>
      <c r="C41" s="20"/>
      <c r="D41" s="20"/>
      <c r="E41" s="69" t="n">
        <f aca="false">ASSUMPTIONS!$B$18</f>
        <v>0</v>
      </c>
      <c r="F41" s="69" t="n">
        <f aca="false">ASSUMPTIONS!$C$18</f>
        <v>0</v>
      </c>
      <c r="G41" s="69" t="n">
        <f aca="false">ASSUMPTIONS!$D$18</f>
        <v>5</v>
      </c>
      <c r="H41" s="70" t="n">
        <f aca="false">INDEX(E41:G41,MATCH(13W_FORECAST!$C$4,$E$4:$G$4,0))</f>
        <v>0</v>
      </c>
      <c r="I41" s="9" t="s">
        <v>592</v>
      </c>
      <c r="J41" s="9" t="s">
        <v>593</v>
      </c>
      <c r="K41" s="11"/>
    </row>
    <row r="42" customFormat="false" ht="15" hidden="false" customHeight="false" outlineLevel="0" collapsed="false">
      <c r="A42" s="9" t="s">
        <v>758</v>
      </c>
      <c r="B42" s="20"/>
      <c r="C42" s="20"/>
      <c r="D42" s="20"/>
      <c r="E42" s="69" t="n">
        <f aca="false">ASSUMPTIONS!$B$19</f>
        <v>0</v>
      </c>
      <c r="F42" s="69" t="n">
        <f aca="false">ASSUMPTIONS!$C$19</f>
        <v>0</v>
      </c>
      <c r="G42" s="69" t="n">
        <f aca="false">ASSUMPTIONS!$D$19</f>
        <v>5</v>
      </c>
      <c r="H42" s="70" t="n">
        <f aca="false">INDEX(E42:G42,MATCH(13W_FORECAST!$C$4,$E$4:$G$4,0))</f>
        <v>0</v>
      </c>
      <c r="I42" s="9" t="s">
        <v>592</v>
      </c>
      <c r="J42" s="9" t="s">
        <v>593</v>
      </c>
      <c r="K42" s="11"/>
    </row>
    <row r="43" customFormat="false" ht="15" hidden="false" customHeight="false" outlineLevel="0" collapsed="false">
      <c r="A43" s="9" t="s">
        <v>759</v>
      </c>
      <c r="B43" s="20"/>
      <c r="C43" s="20"/>
      <c r="D43" s="20"/>
      <c r="E43" s="66" t="n">
        <f aca="false">E13*E40</f>
        <v>0</v>
      </c>
      <c r="F43" s="66" t="n">
        <f aca="false">F13*F40</f>
        <v>968.550684931507</v>
      </c>
      <c r="G43" s="66" t="n">
        <f aca="false">G13*G40</f>
        <v>1971.69246575342</v>
      </c>
      <c r="H43" s="67" t="n">
        <f aca="false">INDEX(E43:G43,MATCH(13W_FORECAST!$C$4,$E$4:$G$4,0))</f>
        <v>0</v>
      </c>
      <c r="I43" s="9" t="s">
        <v>258</v>
      </c>
      <c r="J43" s="9" t="s">
        <v>720</v>
      </c>
      <c r="K43" s="11"/>
    </row>
    <row r="44" customFormat="false" ht="15" hidden="false" customHeight="false" outlineLevel="0" collapsed="false">
      <c r="A44" s="9" t="s">
        <v>760</v>
      </c>
      <c r="B44" s="20"/>
      <c r="C44" s="20"/>
      <c r="D44" s="20"/>
      <c r="E44" s="66" t="n">
        <f aca="false">E39*E41</f>
        <v>0</v>
      </c>
      <c r="F44" s="66" t="n">
        <f aca="false">F39*F41</f>
        <v>0</v>
      </c>
      <c r="G44" s="66" t="n">
        <f aca="false">G39*G41</f>
        <v>367.041095890411</v>
      </c>
      <c r="H44" s="67" t="n">
        <f aca="false">INDEX(E44:G44,MATCH(13W_FORECAST!$C$4,$E$4:$G$4,0))</f>
        <v>0</v>
      </c>
      <c r="I44" s="9" t="s">
        <v>258</v>
      </c>
      <c r="J44" s="9" t="s">
        <v>720</v>
      </c>
      <c r="K44" s="11"/>
    </row>
    <row r="45" customFormat="false" ht="15" hidden="false" customHeight="false" outlineLevel="0" collapsed="false">
      <c r="A45" s="9" t="s">
        <v>761</v>
      </c>
      <c r="B45" s="20"/>
      <c r="C45" s="20"/>
      <c r="D45" s="20"/>
      <c r="E45" s="66" t="n">
        <f aca="false">E39*E42</f>
        <v>0</v>
      </c>
      <c r="F45" s="66" t="n">
        <f aca="false">F39*F42</f>
        <v>0</v>
      </c>
      <c r="G45" s="66" t="n">
        <f aca="false">G39*G42</f>
        <v>367.041095890411</v>
      </c>
      <c r="H45" s="67" t="n">
        <f aca="false">INDEX(E45:G45,MATCH(13W_FORECAST!$C$4,$E$4:$G$4,0))</f>
        <v>0</v>
      </c>
      <c r="I45" s="9" t="s">
        <v>258</v>
      </c>
      <c r="J45" s="9" t="s">
        <v>720</v>
      </c>
      <c r="K45" s="11"/>
    </row>
    <row r="46" customFormat="false" ht="15" hidden="false" customHeight="false" outlineLevel="0" collapsed="false">
      <c r="A46" s="14" t="s">
        <v>762</v>
      </c>
      <c r="B46" s="20"/>
      <c r="C46" s="20"/>
      <c r="D46" s="20"/>
      <c r="E46" s="67" t="n">
        <f aca="false">E43+E44+E45</f>
        <v>0</v>
      </c>
      <c r="F46" s="67" t="n">
        <f aca="false">F43+F44+F45</f>
        <v>968.550684931507</v>
      </c>
      <c r="G46" s="67" t="n">
        <f aca="false">G43+G44+G45</f>
        <v>2705.77465753425</v>
      </c>
      <c r="H46" s="67" t="n">
        <f aca="false">INDEX(E46:G46,MATCH(13W_FORECAST!$C$4,$E$4:$G$4,0))</f>
        <v>0</v>
      </c>
      <c r="I46" s="9" t="s">
        <v>258</v>
      </c>
      <c r="J46" s="9" t="s">
        <v>720</v>
      </c>
      <c r="K46" s="11" t="s">
        <v>763</v>
      </c>
    </row>
    <row r="47" customFormat="false" ht="15" hidden="false" customHeight="false" outlineLevel="0" collapsed="false">
      <c r="A47" s="7" t="s">
        <v>764</v>
      </c>
      <c r="B47" s="8"/>
      <c r="C47" s="8"/>
      <c r="D47" s="8"/>
      <c r="E47" s="8"/>
      <c r="F47" s="8"/>
      <c r="G47" s="8"/>
      <c r="H47" s="8"/>
      <c r="I47" s="8"/>
      <c r="J47" s="8"/>
      <c r="K47" s="8"/>
    </row>
    <row r="48" customFormat="false" ht="15" hidden="false" customHeight="false" outlineLevel="0" collapsed="false">
      <c r="A48" s="9" t="s">
        <v>180</v>
      </c>
      <c r="B48" s="62" t="n">
        <f aca="false">HISTORICAL_CF!E27</f>
        <v>-1420</v>
      </c>
      <c r="C48" s="62" t="n">
        <f aca="false">HISTORICAL_CF!F27</f>
        <v>-1599</v>
      </c>
      <c r="D48" s="62" t="n">
        <f aca="false">HISTORICAL_CF!G27</f>
        <v>-1465</v>
      </c>
      <c r="E48" s="20"/>
      <c r="F48" s="20"/>
      <c r="G48" s="20"/>
      <c r="H48" s="20"/>
      <c r="I48" s="9" t="s">
        <v>258</v>
      </c>
      <c r="J48" s="9" t="s">
        <v>716</v>
      </c>
      <c r="K48" s="11"/>
    </row>
    <row r="49" customFormat="false" ht="15" hidden="false" customHeight="false" outlineLevel="0" collapsed="false">
      <c r="A49" s="9" t="s">
        <v>765</v>
      </c>
      <c r="B49" s="63" t="n">
        <f aca="false">HISTORICAL_CF!E74</f>
        <v>0.0274767801857585</v>
      </c>
      <c r="C49" s="63" t="n">
        <f aca="false">HISTORICAL_CF!F74</f>
        <v>0.0304693305893786</v>
      </c>
      <c r="D49" s="63" t="n">
        <f aca="false">HISTORICAL_CF!G74</f>
        <v>0.0290081777320159</v>
      </c>
      <c r="E49" s="20"/>
      <c r="F49" s="20"/>
      <c r="G49" s="20"/>
      <c r="H49" s="20"/>
      <c r="I49" s="9" t="s">
        <v>258</v>
      </c>
      <c r="J49" s="9" t="s">
        <v>652</v>
      </c>
      <c r="K49" s="11"/>
    </row>
    <row r="50" customFormat="false" ht="15" hidden="false" customHeight="false" outlineLevel="0" collapsed="false">
      <c r="A50" s="9" t="s">
        <v>766</v>
      </c>
      <c r="B50" s="20"/>
      <c r="C50" s="20"/>
      <c r="D50" s="20"/>
      <c r="E50" s="66" t="n">
        <f aca="false">$D$49*E9*ASSUMPTIONS!$B$25</f>
        <v>1465</v>
      </c>
      <c r="F50" s="66" t="n">
        <f aca="false">$D$49*F9*ASSUMPTIONS!$C$25</f>
        <v>1465</v>
      </c>
      <c r="G50" s="66" t="n">
        <f aca="false">$D$49*G9*ASSUMPTIONS!$D$25</f>
        <v>1465</v>
      </c>
      <c r="H50" s="67" t="n">
        <f aca="false">INDEX(E50:G50,MATCH(13W_FORECAST!$C$4,$E$4:$G$4,0))</f>
        <v>1465</v>
      </c>
      <c r="I50" s="9" t="s">
        <v>258</v>
      </c>
      <c r="J50" s="9" t="s">
        <v>720</v>
      </c>
      <c r="K50" s="11"/>
    </row>
    <row r="51" customFormat="false" ht="15" hidden="false" customHeight="false" outlineLevel="0" collapsed="false">
      <c r="A51" s="7" t="s">
        <v>268</v>
      </c>
      <c r="B51" s="8"/>
      <c r="C51" s="8"/>
      <c r="D51" s="8"/>
      <c r="E51" s="8"/>
      <c r="F51" s="8"/>
      <c r="G51" s="8"/>
      <c r="H51" s="8"/>
      <c r="I51" s="8"/>
      <c r="J51" s="8"/>
      <c r="K51" s="8"/>
    </row>
    <row r="52" customFormat="false" ht="15" hidden="false" customHeight="false" outlineLevel="0" collapsed="false">
      <c r="A52" s="9" t="s">
        <v>278</v>
      </c>
      <c r="B52" s="63" t="n">
        <f aca="false">HISTORICAL_IS!E22</f>
        <v>0.230671148719138</v>
      </c>
      <c r="C52" s="63" t="n">
        <f aca="false">HISTORICAL_IS!F22</f>
        <v>0.278580814717477</v>
      </c>
      <c r="D52" s="63" t="n">
        <f aca="false">HISTORICAL_IS!G22</f>
        <v>0.285402047624526</v>
      </c>
      <c r="E52" s="20"/>
      <c r="F52" s="20"/>
      <c r="G52" s="20"/>
      <c r="H52" s="20"/>
      <c r="I52" s="9" t="s">
        <v>258</v>
      </c>
      <c r="J52" s="9" t="s">
        <v>652</v>
      </c>
      <c r="K52" s="11"/>
    </row>
    <row r="53" customFormat="false" ht="15" hidden="false" customHeight="false" outlineLevel="0" collapsed="false">
      <c r="A53" s="9" t="s">
        <v>171</v>
      </c>
      <c r="B53" s="62" t="n">
        <f aca="false">HISTORICAL_CF!E20</f>
        <v>-1933</v>
      </c>
      <c r="C53" s="62" t="n">
        <f aca="false">HISTORICAL_CF!F20</f>
        <v>-2452</v>
      </c>
      <c r="D53" s="62" t="n">
        <f aca="false">HISTORICAL_CF!G20</f>
        <v>-2720</v>
      </c>
      <c r="E53" s="20"/>
      <c r="F53" s="20"/>
      <c r="G53" s="20"/>
      <c r="H53" s="20"/>
      <c r="I53" s="9" t="s">
        <v>258</v>
      </c>
      <c r="J53" s="9" t="s">
        <v>716</v>
      </c>
      <c r="K53" s="11"/>
    </row>
    <row r="54" customFormat="false" ht="15" hidden="false" customHeight="false" outlineLevel="0" collapsed="false">
      <c r="A54" s="9" t="s">
        <v>767</v>
      </c>
      <c r="B54" s="64" t="n">
        <f aca="false">IFERROR(HISTORICAL_IS!E13/B6,"")</f>
        <v>0.166931114551084</v>
      </c>
      <c r="C54" s="64" t="n">
        <f aca="false">IFERROR(HISTORICAL_IS!F13/C6,"")</f>
        <v>0.159511423617066</v>
      </c>
      <c r="D54" s="64" t="n">
        <f aca="false">IFERROR(HISTORICAL_IS!G13/D6,"")</f>
        <v>0.17212838841257</v>
      </c>
      <c r="E54" s="20"/>
      <c r="F54" s="20"/>
      <c r="G54" s="20"/>
      <c r="H54" s="20"/>
      <c r="I54" s="9" t="s">
        <v>258</v>
      </c>
      <c r="J54" s="9" t="s">
        <v>652</v>
      </c>
      <c r="K54" s="11"/>
    </row>
    <row r="55" customFormat="false" ht="15" hidden="false" customHeight="false" outlineLevel="0" collapsed="false">
      <c r="A55" s="9" t="s">
        <v>768</v>
      </c>
      <c r="B55" s="71" t="n">
        <f aca="false">IFERROR(-B53/HISTORICAL_IS!E14,"")</f>
        <v>0.971356783919598</v>
      </c>
      <c r="C55" s="71" t="n">
        <f aca="false">IFERROR(-C53/HISTORICAL_IS!F14,"")</f>
        <v>1.05145797598628</v>
      </c>
      <c r="D55" s="71" t="n">
        <f aca="false">IFERROR(-D53/HISTORICAL_IS!G14,"")</f>
        <v>1.09633212414349</v>
      </c>
      <c r="E55" s="20"/>
      <c r="F55" s="20"/>
      <c r="G55" s="20"/>
      <c r="H55" s="20"/>
      <c r="I55" s="9" t="s">
        <v>258</v>
      </c>
      <c r="J55" s="9" t="s">
        <v>652</v>
      </c>
      <c r="K55" s="11"/>
    </row>
    <row r="56" customFormat="false" ht="15" hidden="false" customHeight="false" outlineLevel="0" collapsed="false">
      <c r="A56" s="9" t="s">
        <v>769</v>
      </c>
      <c r="B56" s="20"/>
      <c r="C56" s="20"/>
      <c r="D56" s="20"/>
      <c r="E56" s="64" t="n">
        <f aca="false">$D$52</f>
        <v>0.285402047624526</v>
      </c>
      <c r="F56" s="64" t="n">
        <f aca="false">$D$52</f>
        <v>0.285402047624526</v>
      </c>
      <c r="G56" s="64" t="n">
        <f aca="false">$D$52</f>
        <v>0.285402047624526</v>
      </c>
      <c r="H56" s="65" t="n">
        <f aca="false">INDEX(E56:G56,MATCH(13W_FORECAST!$C$4,$E$4:$G$4,0))</f>
        <v>0.285402047624526</v>
      </c>
      <c r="I56" s="9" t="s">
        <v>258</v>
      </c>
      <c r="J56" s="9" t="s">
        <v>593</v>
      </c>
      <c r="K56" s="11"/>
    </row>
    <row r="57" customFormat="false" ht="15" hidden="false" customHeight="false" outlineLevel="0" collapsed="false">
      <c r="A57" s="9" t="s">
        <v>770</v>
      </c>
      <c r="B57" s="20"/>
      <c r="C57" s="20"/>
      <c r="D57" s="20"/>
      <c r="E57" s="66" t="n">
        <f aca="false">$D$54*E9</f>
        <v>8693</v>
      </c>
      <c r="F57" s="66" t="n">
        <f aca="false">$D$54*F9</f>
        <v>8693</v>
      </c>
      <c r="G57" s="66" t="n">
        <f aca="false">$D$54*G9</f>
        <v>8693</v>
      </c>
      <c r="H57" s="67" t="n">
        <f aca="false">INDEX(E57:G57,MATCH(13W_FORECAST!$C$4,$E$4:$G$4,0))</f>
        <v>8693</v>
      </c>
      <c r="I57" s="9" t="s">
        <v>258</v>
      </c>
      <c r="J57" s="9" t="s">
        <v>720</v>
      </c>
      <c r="K57" s="11"/>
    </row>
    <row r="58" customFormat="false" ht="15" hidden="false" customHeight="false" outlineLevel="0" collapsed="false">
      <c r="A58" s="9" t="s">
        <v>771</v>
      </c>
      <c r="B58" s="20"/>
      <c r="C58" s="20"/>
      <c r="D58" s="20"/>
      <c r="E58" s="66" t="n">
        <f aca="false">E57*E56*$D$55*ASSUMPTIONS!$B$23</f>
        <v>2720</v>
      </c>
      <c r="F58" s="66" t="n">
        <f aca="false">F57*F56*$D$55*ASSUMPTIONS!$C$23</f>
        <v>2720</v>
      </c>
      <c r="G58" s="66" t="n">
        <f aca="false">G57*G56*$D$55*ASSUMPTIONS!$D$23</f>
        <v>2720</v>
      </c>
      <c r="H58" s="67" t="n">
        <f aca="false">INDEX(E58:G58,MATCH(13W_FORECAST!$C$4,$E$4:$G$4,0))</f>
        <v>2720</v>
      </c>
      <c r="I58" s="9" t="s">
        <v>258</v>
      </c>
      <c r="J58" s="9" t="s">
        <v>720</v>
      </c>
      <c r="K58" s="11" t="s">
        <v>772</v>
      </c>
    </row>
    <row r="59" customFormat="false" ht="15" hidden="false" customHeight="false" outlineLevel="0" collapsed="false">
      <c r="A59" s="7" t="s">
        <v>773</v>
      </c>
      <c r="B59" s="8"/>
      <c r="C59" s="8"/>
      <c r="D59" s="8"/>
      <c r="E59" s="8"/>
      <c r="F59" s="8"/>
      <c r="G59" s="8"/>
      <c r="H59" s="8"/>
      <c r="I59" s="8"/>
      <c r="J59" s="8"/>
      <c r="K59" s="8"/>
    </row>
    <row r="60" customFormat="false" ht="15" hidden="false" customHeight="false" outlineLevel="0" collapsed="false">
      <c r="A60" s="9" t="s">
        <v>222</v>
      </c>
      <c r="B60" s="62" t="n">
        <f aca="false">HISTORICAL_CF!E40</f>
        <v>-751</v>
      </c>
      <c r="C60" s="62" t="n">
        <f aca="false">HISTORICAL_CF!F40</f>
        <v>-929</v>
      </c>
      <c r="D60" s="62" t="n">
        <f aca="false">HISTORICAL_CF!G40</f>
        <v>-1018</v>
      </c>
      <c r="E60" s="20"/>
      <c r="F60" s="20"/>
      <c r="G60" s="20"/>
      <c r="H60" s="20"/>
      <c r="I60" s="9" t="s">
        <v>258</v>
      </c>
      <c r="J60" s="9" t="s">
        <v>716</v>
      </c>
      <c r="K60" s="11"/>
    </row>
    <row r="61" customFormat="false" ht="15" hidden="false" customHeight="false" outlineLevel="0" collapsed="false">
      <c r="A61" s="9" t="s">
        <v>774</v>
      </c>
      <c r="B61" s="20"/>
      <c r="C61" s="62" t="n">
        <f aca="false">HISTORICAL_BS!F50</f>
        <v>32053</v>
      </c>
      <c r="D61" s="62" t="n">
        <f aca="false">HISTORICAL_BS!G50</f>
        <v>28278</v>
      </c>
      <c r="E61" s="20"/>
      <c r="F61" s="20"/>
      <c r="G61" s="20"/>
      <c r="H61" s="20"/>
      <c r="I61" s="9" t="s">
        <v>258</v>
      </c>
      <c r="J61" s="9" t="s">
        <v>716</v>
      </c>
      <c r="K61" s="11"/>
    </row>
    <row r="62" customFormat="false" ht="15" hidden="false" customHeight="false" outlineLevel="0" collapsed="false">
      <c r="A62" s="9" t="s">
        <v>775</v>
      </c>
      <c r="B62" s="20"/>
      <c r="C62" s="62" t="n">
        <f aca="false">HISTORICAL_BS!F39</f>
        <v>6987</v>
      </c>
      <c r="D62" s="62" t="n">
        <f aca="false">HISTORICAL_BS!G39</f>
        <v>2582</v>
      </c>
      <c r="E62" s="20"/>
      <c r="F62" s="20"/>
      <c r="G62" s="20"/>
      <c r="H62" s="20"/>
      <c r="I62" s="9" t="s">
        <v>258</v>
      </c>
      <c r="J62" s="9" t="s">
        <v>716</v>
      </c>
      <c r="K62" s="11"/>
    </row>
    <row r="63" customFormat="false" ht="15" hidden="false" customHeight="false" outlineLevel="0" collapsed="false">
      <c r="A63" s="9" t="s">
        <v>776</v>
      </c>
      <c r="B63" s="20"/>
      <c r="C63" s="20"/>
      <c r="D63" s="64" t="n">
        <f aca="false">IFERROR(-D60/AVERAGE(C61:D61),"")</f>
        <v>0.0337471614924334</v>
      </c>
      <c r="E63" s="20"/>
      <c r="F63" s="20"/>
      <c r="G63" s="20"/>
      <c r="H63" s="20"/>
      <c r="I63" s="9" t="s">
        <v>258</v>
      </c>
      <c r="J63" s="9" t="s">
        <v>652</v>
      </c>
      <c r="K63" s="11"/>
    </row>
    <row r="64" customFormat="false" ht="15" hidden="false" customHeight="false" outlineLevel="0" collapsed="false">
      <c r="A64" s="9" t="s">
        <v>777</v>
      </c>
      <c r="B64" s="20"/>
      <c r="C64" s="20"/>
      <c r="D64" s="66" t="n">
        <f aca="false">D61*(1-ASSUMPTIONS!$B$32)</f>
        <v>4524.48</v>
      </c>
      <c r="E64" s="20"/>
      <c r="F64" s="20"/>
      <c r="G64" s="20"/>
      <c r="H64" s="20"/>
      <c r="I64" s="9" t="s">
        <v>258</v>
      </c>
      <c r="J64" s="9" t="s">
        <v>652</v>
      </c>
      <c r="K64" s="11" t="s">
        <v>778</v>
      </c>
    </row>
    <row r="65" customFormat="false" ht="22.35" hidden="false" customHeight="false" outlineLevel="0" collapsed="false">
      <c r="A65" s="9" t="s">
        <v>779</v>
      </c>
      <c r="B65" s="20"/>
      <c r="C65" s="20"/>
      <c r="D65" s="66" t="n">
        <f aca="false">D64*0.01</f>
        <v>45.2448</v>
      </c>
      <c r="E65" s="20"/>
      <c r="F65" s="20"/>
      <c r="G65" s="20"/>
      <c r="H65" s="20"/>
      <c r="I65" s="9" t="s">
        <v>258</v>
      </c>
      <c r="J65" s="9" t="s">
        <v>652</v>
      </c>
      <c r="K65" s="11" t="s">
        <v>780</v>
      </c>
    </row>
    <row r="66" customFormat="false" ht="15" hidden="false" customHeight="false" outlineLevel="0" collapsed="false">
      <c r="A66" s="9" t="s">
        <v>644</v>
      </c>
      <c r="B66" s="20"/>
      <c r="C66" s="20"/>
      <c r="D66" s="20"/>
      <c r="E66" s="69" t="n">
        <f aca="false">ASSUMPTIONS!$B$31</f>
        <v>0</v>
      </c>
      <c r="F66" s="69" t="n">
        <f aca="false">ASSUMPTIONS!$C$31</f>
        <v>50</v>
      </c>
      <c r="G66" s="69" t="n">
        <f aca="false">ASSUMPTIONS!$D$31</f>
        <v>200</v>
      </c>
      <c r="H66" s="70" t="n">
        <f aca="false">INDEX(E66:G66,MATCH(13W_FORECAST!$C$4,$E$4:$G$4,0))</f>
        <v>0</v>
      </c>
      <c r="I66" s="9" t="s">
        <v>645</v>
      </c>
      <c r="J66" s="9" t="s">
        <v>593</v>
      </c>
      <c r="K66" s="11"/>
    </row>
    <row r="67" customFormat="false" ht="15" hidden="false" customHeight="false" outlineLevel="0" collapsed="false">
      <c r="A67" s="9" t="s">
        <v>781</v>
      </c>
      <c r="B67" s="20"/>
      <c r="C67" s="20"/>
      <c r="D67" s="20"/>
      <c r="E67" s="66" t="n">
        <f aca="false">-$D$60+$D$64*E66/10000</f>
        <v>1018</v>
      </c>
      <c r="F67" s="66" t="n">
        <f aca="false">-$D$60+$D$64*F66/10000</f>
        <v>1040.6224</v>
      </c>
      <c r="G67" s="66" t="n">
        <f aca="false">-$D$60+$D$64*G66/10000</f>
        <v>1108.4896</v>
      </c>
      <c r="H67" s="67" t="n">
        <f aca="false">INDEX(E67:G67,MATCH(13W_FORECAST!$C$4,$E$4:$G$4,0))</f>
        <v>1018</v>
      </c>
      <c r="I67" s="9" t="s">
        <v>258</v>
      </c>
      <c r="J67" s="9" t="s">
        <v>720</v>
      </c>
      <c r="K67" s="11" t="s">
        <v>782</v>
      </c>
    </row>
    <row r="68" customFormat="false" ht="15" hidden="false" customHeight="false" outlineLevel="0" collapsed="false">
      <c r="A68" s="9" t="s">
        <v>783</v>
      </c>
      <c r="B68" s="20"/>
      <c r="C68" s="20"/>
      <c r="D68" s="20"/>
      <c r="E68" s="64" t="n">
        <f aca="false">ASSUMPTIONS!$B$34+E66/10000</f>
        <v>0.043</v>
      </c>
      <c r="F68" s="64" t="n">
        <f aca="false">ASSUMPTIONS!$C$34+F66/10000</f>
        <v>0.048</v>
      </c>
      <c r="G68" s="64" t="n">
        <f aca="false">ASSUMPTIONS!$D$34+G66/10000</f>
        <v>0.063</v>
      </c>
      <c r="H68" s="65" t="n">
        <f aca="false">INDEX(E68:G68,MATCH(13W_FORECAST!$C$4,$E$4:$G$4,0))</f>
        <v>0.043</v>
      </c>
      <c r="I68" s="9" t="s">
        <v>258</v>
      </c>
      <c r="J68" s="9" t="s">
        <v>593</v>
      </c>
      <c r="K68" s="11"/>
    </row>
    <row r="69" customFormat="false" ht="22.35" hidden="false" customHeight="false" outlineLevel="0" collapsed="false">
      <c r="A69" s="9" t="s">
        <v>784</v>
      </c>
      <c r="B69" s="20"/>
      <c r="C69" s="20"/>
      <c r="D69" s="20"/>
      <c r="E69" s="66" t="n">
        <f aca="false">$D$62</f>
        <v>2582</v>
      </c>
      <c r="F69" s="66" t="n">
        <f aca="false">$D$62</f>
        <v>2582</v>
      </c>
      <c r="G69" s="66" t="n">
        <f aca="false">$D$62</f>
        <v>2582</v>
      </c>
      <c r="H69" s="67" t="n">
        <f aca="false">INDEX(E69:G69,MATCH(13W_FORECAST!$C$4,$E$4:$G$4,0))</f>
        <v>2582</v>
      </c>
      <c r="I69" s="9" t="s">
        <v>258</v>
      </c>
      <c r="J69" s="9" t="s">
        <v>720</v>
      </c>
      <c r="K69" s="11" t="s">
        <v>785</v>
      </c>
    </row>
    <row r="70" customFormat="false" ht="15" hidden="false" customHeight="false" outlineLevel="0" collapsed="false">
      <c r="A70" s="7" t="s">
        <v>786</v>
      </c>
      <c r="B70" s="8"/>
      <c r="C70" s="8"/>
      <c r="D70" s="8"/>
      <c r="E70" s="8"/>
      <c r="F70" s="8"/>
      <c r="G70" s="8"/>
      <c r="H70" s="8"/>
      <c r="I70" s="8"/>
      <c r="J70" s="8"/>
      <c r="K70" s="8"/>
    </row>
    <row r="71" customFormat="false" ht="15" hidden="false" customHeight="false" outlineLevel="0" collapsed="false">
      <c r="A71" s="9" t="s">
        <v>491</v>
      </c>
      <c r="B71" s="62" t="n">
        <f aca="false">HISTORICAL_CF!E39</f>
        <v>-4363</v>
      </c>
      <c r="C71" s="62" t="n">
        <f aca="false">HISTORICAL_CF!F39</f>
        <v>-4319</v>
      </c>
      <c r="D71" s="62" t="n">
        <f aca="false">HISTORICAL_CF!G39</f>
        <v>-4453</v>
      </c>
      <c r="E71" s="20"/>
      <c r="F71" s="20"/>
      <c r="G71" s="20"/>
      <c r="H71" s="20"/>
      <c r="I71" s="9" t="s">
        <v>258</v>
      </c>
      <c r="J71" s="9" t="s">
        <v>716</v>
      </c>
      <c r="K71" s="11"/>
    </row>
    <row r="72" customFormat="false" ht="15" hidden="false" customHeight="false" outlineLevel="0" collapsed="false">
      <c r="A72" s="9" t="s">
        <v>492</v>
      </c>
      <c r="B72" s="62" t="str">
        <f aca="false">HISTORICAL_CF!E45</f>
        <v/>
      </c>
      <c r="C72" s="62" t="n">
        <f aca="false">HISTORICAL_CF!F45</f>
        <v>-1508</v>
      </c>
      <c r="D72" s="62" t="n">
        <f aca="false">HISTORICAL_CF!G45</f>
        <v>-1510</v>
      </c>
      <c r="E72" s="20"/>
      <c r="F72" s="20"/>
      <c r="G72" s="20"/>
      <c r="H72" s="20"/>
      <c r="I72" s="9" t="s">
        <v>258</v>
      </c>
      <c r="J72" s="9" t="s">
        <v>716</v>
      </c>
      <c r="K72" s="11"/>
    </row>
    <row r="73" customFormat="false" ht="15" hidden="false" customHeight="false" outlineLevel="0" collapsed="false">
      <c r="A73" s="9" t="s">
        <v>787</v>
      </c>
      <c r="B73" s="20"/>
      <c r="C73" s="20"/>
      <c r="D73" s="20"/>
      <c r="E73" s="66" t="n">
        <f aca="false">-$D$71/4*(1+ASSUMPTIONS!$B$37)</f>
        <v>1113.25</v>
      </c>
      <c r="F73" s="66" t="n">
        <f aca="false">-$D$71/4*(1+ASSUMPTIONS!$C$37)</f>
        <v>1113.25</v>
      </c>
      <c r="G73" s="66" t="n">
        <f aca="false">-$D$71/4*(1+ASSUMPTIONS!$D$37)</f>
        <v>1113.25</v>
      </c>
      <c r="H73" s="67" t="n">
        <f aca="false">INDEX(E73:G73,MATCH(13W_FORECAST!$C$4,$E$4:$G$4,0))</f>
        <v>1113.25</v>
      </c>
      <c r="I73" s="9" t="s">
        <v>258</v>
      </c>
      <c r="J73" s="9" t="s">
        <v>720</v>
      </c>
      <c r="K73" s="11"/>
    </row>
    <row r="74" customFormat="false" ht="15" hidden="false" customHeight="false" outlineLevel="0" collapsed="false">
      <c r="A74" s="9" t="s">
        <v>788</v>
      </c>
      <c r="B74" s="20"/>
      <c r="C74" s="20"/>
      <c r="D74" s="20"/>
      <c r="E74" s="66" t="n">
        <f aca="false">-$D$72*ASSUMPTIONS!$B$39</f>
        <v>1510</v>
      </c>
      <c r="F74" s="66" t="n">
        <f aca="false">-$D$72*ASSUMPTIONS!$C$39</f>
        <v>1510</v>
      </c>
      <c r="G74" s="66" t="n">
        <f aca="false">-$D$72*ASSUMPTIONS!$D$39</f>
        <v>1510</v>
      </c>
      <c r="H74" s="67" t="n">
        <f aca="false">INDEX(E74:G74,MATCH(13W_FORECAST!$C$4,$E$4:$G$4,0))</f>
        <v>1510</v>
      </c>
      <c r="I74" s="9" t="s">
        <v>258</v>
      </c>
      <c r="J74" s="9" t="s">
        <v>720</v>
      </c>
      <c r="K74" s="11"/>
    </row>
    <row r="75" customFormat="false" ht="15" hidden="false" customHeight="false" outlineLevel="0" collapsed="false">
      <c r="A75" s="7" t="s">
        <v>789</v>
      </c>
      <c r="B75" s="8"/>
      <c r="C75" s="8"/>
      <c r="D75" s="8"/>
      <c r="E75" s="8"/>
      <c r="F75" s="8"/>
      <c r="G75" s="8"/>
      <c r="H75" s="8"/>
      <c r="I75" s="8"/>
      <c r="J75" s="8"/>
      <c r="K75" s="8"/>
    </row>
    <row r="76" customFormat="false" ht="22.35" hidden="false" customHeight="false" outlineLevel="0" collapsed="false">
      <c r="A76" s="9" t="s">
        <v>790</v>
      </c>
      <c r="B76" s="20"/>
      <c r="C76" s="20"/>
      <c r="D76" s="20"/>
      <c r="E76" s="66" t="n">
        <f aca="false">(E24+E25+E26+E58+E50+E67)/52</f>
        <v>864.115384615385</v>
      </c>
      <c r="F76" s="66" t="n">
        <f aca="false">(F24+F25+F26+F58+F50+F67)/52</f>
        <v>864.550430769231</v>
      </c>
      <c r="G76" s="66" t="n">
        <f aca="false">(G24+G25+G26+G58+G50+G67)/52</f>
        <v>865.855569230769</v>
      </c>
      <c r="H76" s="67" t="n">
        <f aca="false">INDEX(E76:G76,MATCH(13W_FORECAST!$C$4,$E$4:$G$4,0))</f>
        <v>864.115384615385</v>
      </c>
      <c r="I76" s="9" t="s">
        <v>258</v>
      </c>
      <c r="J76" s="9" t="s">
        <v>720</v>
      </c>
      <c r="K76" s="11" t="s">
        <v>791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2"/>
    <col collapsed="false" customWidth="true" hidden="false" outlineLevel="0" max="15" min="3" style="0" width="10.51"/>
    <col collapsed="false" customWidth="true" hidden="false" outlineLevel="0" max="16" min="16" style="0" width="60"/>
  </cols>
  <sheetData>
    <row r="1" customFormat="false" ht="16.15" hidden="false" customHeight="false" outlineLevel="0" collapsed="false">
      <c r="A1" s="1" t="s">
        <v>792</v>
      </c>
    </row>
    <row r="2" customFormat="false" ht="15" hidden="false" customHeight="false" outlineLevel="0" collapsed="false">
      <c r="A2" s="5" t="s">
        <v>793</v>
      </c>
    </row>
    <row r="4" customFormat="false" ht="15" hidden="false" customHeight="false" outlineLevel="0" collapsed="false">
      <c r="A4" s="22" t="s">
        <v>794</v>
      </c>
      <c r="C4" s="72" t="s">
        <v>579</v>
      </c>
      <c r="D4" s="5" t="s">
        <v>795</v>
      </c>
    </row>
    <row r="5" customFormat="false" ht="15" hidden="false" customHeight="false" outlineLevel="0" collapsed="false">
      <c r="A5" s="32" t="s">
        <v>587</v>
      </c>
      <c r="C5" s="73" t="n">
        <f aca="false">ASSUMPTIONS!$E$6</f>
        <v>46022</v>
      </c>
    </row>
    <row r="7" customFormat="false" ht="15" hidden="false" customHeight="false" outlineLevel="0" collapsed="false">
      <c r="A7" s="15" t="s">
        <v>796</v>
      </c>
      <c r="B7" s="16" t="s">
        <v>797</v>
      </c>
      <c r="C7" s="16" t="s">
        <v>798</v>
      </c>
      <c r="D7" s="16" t="s">
        <v>799</v>
      </c>
      <c r="E7" s="16" t="s">
        <v>800</v>
      </c>
      <c r="F7" s="16" t="s">
        <v>801</v>
      </c>
      <c r="G7" s="16" t="s">
        <v>802</v>
      </c>
      <c r="H7" s="16" t="s">
        <v>803</v>
      </c>
      <c r="I7" s="16" t="s">
        <v>804</v>
      </c>
      <c r="J7" s="16" t="s">
        <v>805</v>
      </c>
      <c r="K7" s="16" t="s">
        <v>806</v>
      </c>
      <c r="L7" s="16" t="s">
        <v>807</v>
      </c>
      <c r="M7" s="16" t="s">
        <v>808</v>
      </c>
      <c r="N7" s="16" t="s">
        <v>809</v>
      </c>
      <c r="O7" s="16" t="s">
        <v>810</v>
      </c>
      <c r="P7" s="16" t="s">
        <v>811</v>
      </c>
    </row>
    <row r="8" customFormat="false" ht="15" hidden="false" customHeight="false" outlineLevel="0" collapsed="false">
      <c r="A8" s="9" t="s">
        <v>812</v>
      </c>
      <c r="B8" s="20"/>
      <c r="C8" s="69" t="n">
        <f aca="false">COLUMN()-COLUMN($B$8)</f>
        <v>1</v>
      </c>
      <c r="D8" s="69" t="n">
        <f aca="false">COLUMN()-COLUMN($B$8)</f>
        <v>2</v>
      </c>
      <c r="E8" s="69" t="n">
        <f aca="false">COLUMN()-COLUMN($B$8)</f>
        <v>3</v>
      </c>
      <c r="F8" s="69" t="n">
        <f aca="false">COLUMN()-COLUMN($B$8)</f>
        <v>4</v>
      </c>
      <c r="G8" s="69" t="n">
        <f aca="false">COLUMN()-COLUMN($B$8)</f>
        <v>5</v>
      </c>
      <c r="H8" s="69" t="n">
        <f aca="false">COLUMN()-COLUMN($B$8)</f>
        <v>6</v>
      </c>
      <c r="I8" s="69" t="n">
        <f aca="false">COLUMN()-COLUMN($B$8)</f>
        <v>7</v>
      </c>
      <c r="J8" s="69" t="n">
        <f aca="false">COLUMN()-COLUMN($B$8)</f>
        <v>8</v>
      </c>
      <c r="K8" s="69" t="n">
        <f aca="false">COLUMN()-COLUMN($B$8)</f>
        <v>9</v>
      </c>
      <c r="L8" s="69" t="n">
        <f aca="false">COLUMN()-COLUMN($B$8)</f>
        <v>10</v>
      </c>
      <c r="M8" s="69" t="n">
        <f aca="false">COLUMN()-COLUMN($B$8)</f>
        <v>11</v>
      </c>
      <c r="N8" s="69" t="n">
        <f aca="false">COLUMN()-COLUMN($B$8)</f>
        <v>12</v>
      </c>
      <c r="O8" s="69" t="n">
        <f aca="false">COLUMN()-COLUMN($B$8)</f>
        <v>13</v>
      </c>
      <c r="P8" s="40"/>
    </row>
    <row r="9" customFormat="false" ht="15" hidden="false" customHeight="false" outlineLevel="0" collapsed="false">
      <c r="A9" s="9" t="s">
        <v>813</v>
      </c>
      <c r="B9" s="20"/>
      <c r="C9" s="74" t="n">
        <f aca="false">C5+1</f>
        <v>46023</v>
      </c>
      <c r="D9" s="74" t="n">
        <f aca="false">C9+ASSUMPTIONS!$E$7</f>
        <v>46030</v>
      </c>
      <c r="E9" s="74" t="n">
        <f aca="false">D9+ASSUMPTIONS!$E$7</f>
        <v>46037</v>
      </c>
      <c r="F9" s="74" t="n">
        <f aca="false">E9+ASSUMPTIONS!$E$7</f>
        <v>46044</v>
      </c>
      <c r="G9" s="74" t="n">
        <f aca="false">F9+ASSUMPTIONS!$E$7</f>
        <v>46051</v>
      </c>
      <c r="H9" s="74" t="n">
        <f aca="false">G9+ASSUMPTIONS!$E$7</f>
        <v>46058</v>
      </c>
      <c r="I9" s="74" t="n">
        <f aca="false">H9+ASSUMPTIONS!$E$7</f>
        <v>46065</v>
      </c>
      <c r="J9" s="74" t="n">
        <f aca="false">I9+ASSUMPTIONS!$E$7</f>
        <v>46072</v>
      </c>
      <c r="K9" s="74" t="n">
        <f aca="false">J9+ASSUMPTIONS!$E$7</f>
        <v>46079</v>
      </c>
      <c r="L9" s="74" t="n">
        <f aca="false">K9+ASSUMPTIONS!$E$7</f>
        <v>46086</v>
      </c>
      <c r="M9" s="74" t="n">
        <f aca="false">L9+ASSUMPTIONS!$E$7</f>
        <v>46093</v>
      </c>
      <c r="N9" s="74" t="n">
        <f aca="false">M9+ASSUMPTIONS!$E$7</f>
        <v>46100</v>
      </c>
      <c r="O9" s="74" t="n">
        <f aca="false">N9+ASSUMPTIONS!$E$7</f>
        <v>46107</v>
      </c>
      <c r="P9" s="40" t="s">
        <v>814</v>
      </c>
    </row>
    <row r="10" customFormat="false" ht="15" hidden="false" customHeight="false" outlineLevel="0" collapsed="false">
      <c r="A10" s="9" t="s">
        <v>815</v>
      </c>
      <c r="B10" s="20"/>
      <c r="C10" s="74" t="n">
        <f aca="false">C9+ASSUMPTIONS!$E$7-1</f>
        <v>46029</v>
      </c>
      <c r="D10" s="74" t="n">
        <f aca="false">D9+ASSUMPTIONS!$E$7-1</f>
        <v>46036</v>
      </c>
      <c r="E10" s="74" t="n">
        <f aca="false">E9+ASSUMPTIONS!$E$7-1</f>
        <v>46043</v>
      </c>
      <c r="F10" s="74" t="n">
        <f aca="false">F9+ASSUMPTIONS!$E$7-1</f>
        <v>46050</v>
      </c>
      <c r="G10" s="74" t="n">
        <f aca="false">G9+ASSUMPTIONS!$E$7-1</f>
        <v>46057</v>
      </c>
      <c r="H10" s="74" t="n">
        <f aca="false">H9+ASSUMPTIONS!$E$7-1</f>
        <v>46064</v>
      </c>
      <c r="I10" s="74" t="n">
        <f aca="false">I9+ASSUMPTIONS!$E$7-1</f>
        <v>46071</v>
      </c>
      <c r="J10" s="74" t="n">
        <f aca="false">J9+ASSUMPTIONS!$E$7-1</f>
        <v>46078</v>
      </c>
      <c r="K10" s="74" t="n">
        <f aca="false">K9+ASSUMPTIONS!$E$7-1</f>
        <v>46085</v>
      </c>
      <c r="L10" s="74" t="n">
        <f aca="false">L9+ASSUMPTIONS!$E$7-1</f>
        <v>46092</v>
      </c>
      <c r="M10" s="74" t="n">
        <f aca="false">M9+ASSUMPTIONS!$E$7-1</f>
        <v>46099</v>
      </c>
      <c r="N10" s="74" t="n">
        <f aca="false">N9+ASSUMPTIONS!$E$7-1</f>
        <v>46106</v>
      </c>
      <c r="O10" s="74" t="n">
        <f aca="false">O9+ASSUMPTIONS!$E$7-1</f>
        <v>46113</v>
      </c>
      <c r="P10" s="40"/>
    </row>
    <row r="11" customFormat="false" ht="15" hidden="false" customHeight="false" outlineLevel="0" collapsed="false">
      <c r="A11" s="9" t="s">
        <v>816</v>
      </c>
      <c r="B11" s="69" t="n">
        <f aca="false">SUM(C11:O11)</f>
        <v>3</v>
      </c>
      <c r="C11" s="69" t="n">
        <f aca="false">IF(MONTH(C9)&lt;&gt;MONTH(C10+1),1,0)</f>
        <v>0</v>
      </c>
      <c r="D11" s="69" t="n">
        <f aca="false">IF(MONTH(D9)&lt;&gt;MONTH(D10+1),1,0)</f>
        <v>0</v>
      </c>
      <c r="E11" s="69" t="n">
        <f aca="false">IF(MONTH(E9)&lt;&gt;MONTH(E10+1),1,0)</f>
        <v>0</v>
      </c>
      <c r="F11" s="69" t="n">
        <f aca="false">IF(MONTH(F9)&lt;&gt;MONTH(F10+1),1,0)</f>
        <v>0</v>
      </c>
      <c r="G11" s="69" t="n">
        <f aca="false">IF(MONTH(G9)&lt;&gt;MONTH(G10+1),1,0)</f>
        <v>1</v>
      </c>
      <c r="H11" s="69" t="n">
        <f aca="false">IF(MONTH(H9)&lt;&gt;MONTH(H10+1),1,0)</f>
        <v>0</v>
      </c>
      <c r="I11" s="69" t="n">
        <f aca="false">IF(MONTH(I9)&lt;&gt;MONTH(I10+1),1,0)</f>
        <v>0</v>
      </c>
      <c r="J11" s="69" t="n">
        <f aca="false">IF(MONTH(J9)&lt;&gt;MONTH(J10+1),1,0)</f>
        <v>0</v>
      </c>
      <c r="K11" s="69" t="n">
        <f aca="false">IF(MONTH(K9)&lt;&gt;MONTH(K10+1),1,0)</f>
        <v>1</v>
      </c>
      <c r="L11" s="69" t="n">
        <f aca="false">IF(MONTH(L9)&lt;&gt;MONTH(L10+1),1,0)</f>
        <v>0</v>
      </c>
      <c r="M11" s="69" t="n">
        <f aca="false">IF(MONTH(M9)&lt;&gt;MONTH(M10+1),1,0)</f>
        <v>0</v>
      </c>
      <c r="N11" s="69" t="n">
        <f aca="false">IF(MONTH(N9)&lt;&gt;MONTH(N10+1),1,0)</f>
        <v>0</v>
      </c>
      <c r="O11" s="69" t="n">
        <f aca="false">IF(MONTH(O9)&lt;&gt;MONTH(O10+1),1,0)</f>
        <v>1</v>
      </c>
      <c r="P11" s="40" t="s">
        <v>817</v>
      </c>
    </row>
    <row r="12" customFormat="false" ht="15" hidden="false" customHeight="false" outlineLevel="0" collapsed="false">
      <c r="A12" s="9" t="s">
        <v>818</v>
      </c>
      <c r="B12" s="20"/>
      <c r="C12" s="75" t="str">
        <f aca="false">$C$4</f>
        <v>Base</v>
      </c>
      <c r="D12" s="75" t="str">
        <f aca="false">$C$4</f>
        <v>Base</v>
      </c>
      <c r="E12" s="75" t="str">
        <f aca="false">$C$4</f>
        <v>Base</v>
      </c>
      <c r="F12" s="75" t="str">
        <f aca="false">$C$4</f>
        <v>Base</v>
      </c>
      <c r="G12" s="75" t="str">
        <f aca="false">$C$4</f>
        <v>Base</v>
      </c>
      <c r="H12" s="75" t="str">
        <f aca="false">$C$4</f>
        <v>Base</v>
      </c>
      <c r="I12" s="75" t="str">
        <f aca="false">$C$4</f>
        <v>Base</v>
      </c>
      <c r="J12" s="75" t="str">
        <f aca="false">$C$4</f>
        <v>Base</v>
      </c>
      <c r="K12" s="75" t="str">
        <f aca="false">$C$4</f>
        <v>Base</v>
      </c>
      <c r="L12" s="75" t="str">
        <f aca="false">$C$4</f>
        <v>Base</v>
      </c>
      <c r="M12" s="75" t="str">
        <f aca="false">$C$4</f>
        <v>Base</v>
      </c>
      <c r="N12" s="75" t="str">
        <f aca="false">$C$4</f>
        <v>Base</v>
      </c>
      <c r="O12" s="75" t="str">
        <f aca="false">$C$4</f>
        <v>Base</v>
      </c>
      <c r="P12" s="40"/>
    </row>
    <row r="13" customFormat="false" ht="15" hidden="false" customHeight="false" outlineLevel="0" collapsed="false">
      <c r="A13" s="9" t="s">
        <v>819</v>
      </c>
      <c r="B13" s="20"/>
      <c r="C13" s="75" t="str">
        <f aca="false">"W"&amp;C8</f>
        <v>W1</v>
      </c>
      <c r="D13" s="75" t="str">
        <f aca="false">"W"&amp;D8</f>
        <v>W2</v>
      </c>
      <c r="E13" s="75" t="str">
        <f aca="false">"W"&amp;E8</f>
        <v>W3</v>
      </c>
      <c r="F13" s="75" t="str">
        <f aca="false">"W"&amp;F8</f>
        <v>W4</v>
      </c>
      <c r="G13" s="75" t="str">
        <f aca="false">"W"&amp;G8</f>
        <v>W5</v>
      </c>
      <c r="H13" s="75" t="str">
        <f aca="false">"W"&amp;H8</f>
        <v>W6</v>
      </c>
      <c r="I13" s="75" t="str">
        <f aca="false">"W"&amp;I8</f>
        <v>W7</v>
      </c>
      <c r="J13" s="75" t="str">
        <f aca="false">"W"&amp;J8</f>
        <v>W8</v>
      </c>
      <c r="K13" s="75" t="str">
        <f aca="false">"W"&amp;K8</f>
        <v>W9</v>
      </c>
      <c r="L13" s="75" t="str">
        <f aca="false">"W"&amp;L8</f>
        <v>W10</v>
      </c>
      <c r="M13" s="75" t="str">
        <f aca="false">"W"&amp;M8</f>
        <v>W11</v>
      </c>
      <c r="N13" s="75" t="str">
        <f aca="false">"W"&amp;N8</f>
        <v>W12</v>
      </c>
      <c r="O13" s="75" t="str">
        <f aca="false">"W"&amp;O8</f>
        <v>W13</v>
      </c>
      <c r="P13" s="40"/>
    </row>
    <row r="15" customFormat="false" ht="15" hidden="false" customHeight="false" outlineLevel="0" collapsed="false">
      <c r="A15" s="7" t="s">
        <v>820</v>
      </c>
      <c r="B15" s="8"/>
      <c r="C15" s="8"/>
      <c r="D15" s="8"/>
      <c r="E15" s="8"/>
      <c r="F15" s="8"/>
      <c r="G15" s="8"/>
      <c r="H15" s="8"/>
      <c r="I15" s="8"/>
      <c r="J15" s="8"/>
      <c r="K15" s="8"/>
      <c r="L15" s="8"/>
      <c r="M15" s="8"/>
      <c r="N15" s="8"/>
      <c r="O15" s="8"/>
      <c r="P15" s="8"/>
    </row>
    <row r="16" customFormat="false" ht="15" hidden="false" customHeight="false" outlineLevel="0" collapsed="false">
      <c r="A16" s="22" t="s">
        <v>821</v>
      </c>
      <c r="C16" s="76" t="n">
        <f aca="false">HISTORICAL_BS!G12</f>
        <v>3941</v>
      </c>
      <c r="D16" s="5" t="s">
        <v>822</v>
      </c>
    </row>
    <row r="17" customFormat="false" ht="15" hidden="false" customHeight="false" outlineLevel="0" collapsed="false">
      <c r="A17" s="32" t="s">
        <v>823</v>
      </c>
      <c r="C17" s="77" t="n">
        <f aca="false">HISTORICAL_BS!G18</f>
        <v>3870</v>
      </c>
      <c r="D17" s="5" t="s">
        <v>824</v>
      </c>
    </row>
    <row r="18" customFormat="false" ht="15" hidden="false" customHeight="false" outlineLevel="0" collapsed="false">
      <c r="A18" s="32" t="s">
        <v>100</v>
      </c>
      <c r="C18" s="77" t="n">
        <f aca="false">HISTORICAL_BS!G13</f>
        <v>1121</v>
      </c>
      <c r="D18" s="5" t="s">
        <v>825</v>
      </c>
    </row>
    <row r="19" customFormat="false" ht="15" hidden="false" customHeight="false" outlineLevel="0" collapsed="false">
      <c r="A19" s="32" t="s">
        <v>826</v>
      </c>
      <c r="C19" s="77" t="n">
        <f aca="false">ASSUMPTIONS!$E$9</f>
        <v>160</v>
      </c>
      <c r="D19" s="5" t="s">
        <v>827</v>
      </c>
    </row>
    <row r="20" customFormat="false" ht="15" hidden="false" customHeight="false" outlineLevel="0" collapsed="false">
      <c r="A20" s="22" t="s">
        <v>828</v>
      </c>
      <c r="C20" s="78" t="n">
        <f aca="false">C16+C18-C19</f>
        <v>4902</v>
      </c>
      <c r="D20" s="5" t="s">
        <v>829</v>
      </c>
    </row>
    <row r="21" customFormat="false" ht="15" hidden="false" customHeight="false" outlineLevel="0" collapsed="false">
      <c r="A21" s="32" t="s">
        <v>830</v>
      </c>
      <c r="C21" s="79" t="n">
        <f aca="false">ASSUMPTIONS!$E$10/ASSUMPTIONS!$E$12+ASSUMPTIONS!$E$11</f>
        <v>7025.53191489362</v>
      </c>
      <c r="D21" s="5" t="s">
        <v>831</v>
      </c>
    </row>
    <row r="22" customFormat="false" ht="15" hidden="false" customHeight="false" outlineLevel="0" collapsed="false">
      <c r="A22" s="22" t="s">
        <v>832</v>
      </c>
      <c r="C22" s="78" t="n">
        <f aca="false">C20+C21</f>
        <v>11927.5319148936</v>
      </c>
      <c r="D22" s="5" t="s">
        <v>829</v>
      </c>
    </row>
    <row r="24" customFormat="false" ht="15" hidden="false" customHeight="false" outlineLevel="0" collapsed="false">
      <c r="A24" s="15" t="s">
        <v>258</v>
      </c>
      <c r="B24" s="16" t="s">
        <v>797</v>
      </c>
      <c r="C24" s="16" t="s">
        <v>798</v>
      </c>
      <c r="D24" s="16" t="s">
        <v>799</v>
      </c>
      <c r="E24" s="16" t="s">
        <v>800</v>
      </c>
      <c r="F24" s="16" t="s">
        <v>801</v>
      </c>
      <c r="G24" s="16" t="s">
        <v>802</v>
      </c>
      <c r="H24" s="16" t="s">
        <v>803</v>
      </c>
      <c r="I24" s="16" t="s">
        <v>804</v>
      </c>
      <c r="J24" s="16" t="s">
        <v>805</v>
      </c>
      <c r="K24" s="16" t="s">
        <v>806</v>
      </c>
      <c r="L24" s="16" t="s">
        <v>807</v>
      </c>
      <c r="M24" s="16" t="s">
        <v>808</v>
      </c>
      <c r="N24" s="16" t="s">
        <v>809</v>
      </c>
      <c r="O24" s="16" t="s">
        <v>810</v>
      </c>
      <c r="P24" s="16" t="s">
        <v>811</v>
      </c>
    </row>
    <row r="25" customFormat="false" ht="15" hidden="false" customHeight="false" outlineLevel="0" collapsed="false">
      <c r="A25" s="14" t="s">
        <v>392</v>
      </c>
      <c r="B25" s="20"/>
      <c r="C25" s="67" t="n">
        <f aca="false">$C$16</f>
        <v>3941</v>
      </c>
      <c r="D25" s="67" t="n">
        <f aca="false">C57</f>
        <v>4203.80769230769</v>
      </c>
      <c r="E25" s="67" t="n">
        <f aca="false">D57</f>
        <v>4466.61538461539</v>
      </c>
      <c r="F25" s="67" t="n">
        <f aca="false">E57</f>
        <v>4729.42307692308</v>
      </c>
      <c r="G25" s="67" t="n">
        <f aca="false">F57</f>
        <v>4992.23076923077</v>
      </c>
      <c r="H25" s="67" t="n">
        <f aca="false">G57</f>
        <v>4474.70512820513</v>
      </c>
      <c r="I25" s="67" t="n">
        <f aca="false">H57</f>
        <v>4737.51282051282</v>
      </c>
      <c r="J25" s="67" t="n">
        <f aca="false">I57</f>
        <v>5000.32051282051</v>
      </c>
      <c r="K25" s="67" t="n">
        <f aca="false">J57</f>
        <v>5263.12820512821</v>
      </c>
      <c r="L25" s="67" t="n">
        <f aca="false">K57</f>
        <v>4745.60256410256</v>
      </c>
      <c r="M25" s="67" t="n">
        <f aca="false">L57</f>
        <v>5008.41025641026</v>
      </c>
      <c r="N25" s="67" t="n">
        <f aca="false">M57</f>
        <v>5271.21794871795</v>
      </c>
      <c r="O25" s="67" t="n">
        <f aca="false">N57</f>
        <v>5534.02564102564</v>
      </c>
      <c r="P25" s="40" t="s">
        <v>833</v>
      </c>
    </row>
    <row r="26" customFormat="false" ht="15" hidden="false" customHeight="false" outlineLevel="0" collapsed="false">
      <c r="A26" s="7" t="s">
        <v>834</v>
      </c>
      <c r="B26" s="8"/>
      <c r="C26" s="8"/>
      <c r="D26" s="8"/>
      <c r="E26" s="8"/>
      <c r="F26" s="8"/>
      <c r="G26" s="8"/>
      <c r="H26" s="8"/>
      <c r="I26" s="8"/>
      <c r="J26" s="8"/>
      <c r="K26" s="8"/>
      <c r="L26" s="8"/>
      <c r="M26" s="8"/>
      <c r="N26" s="8"/>
      <c r="O26" s="8"/>
      <c r="P26" s="8"/>
    </row>
    <row r="27" customFormat="false" ht="15" hidden="false" customHeight="false" outlineLevel="0" collapsed="false">
      <c r="A27" s="9" t="s">
        <v>835</v>
      </c>
      <c r="B27" s="66" t="n">
        <f aca="false">SUM(C27:O27)</f>
        <v>12625.75</v>
      </c>
      <c r="C27" s="66" t="n">
        <f aca="false">IF(ASSUMPTIONS!$E$17="Month-end",(LIQUIDITY_DRIVERS!$H$11)/12*13W_FORECAST!C$11,(LIQUIDITY_DRIVERS!$H$11)/52)</f>
        <v>971.211538461539</v>
      </c>
      <c r="D27" s="66" t="n">
        <f aca="false">IF(ASSUMPTIONS!$E$17="Month-end",(LIQUIDITY_DRIVERS!$H$11)/12*13W_FORECAST!D$11,(LIQUIDITY_DRIVERS!$H$11)/52)</f>
        <v>971.211538461539</v>
      </c>
      <c r="E27" s="66" t="n">
        <f aca="false">IF(ASSUMPTIONS!$E$17="Month-end",(LIQUIDITY_DRIVERS!$H$11)/12*13W_FORECAST!E$11,(LIQUIDITY_DRIVERS!$H$11)/52)</f>
        <v>971.211538461539</v>
      </c>
      <c r="F27" s="66" t="n">
        <f aca="false">IF(ASSUMPTIONS!$E$17="Month-end",(LIQUIDITY_DRIVERS!$H$11)/12*13W_FORECAST!F$11,(LIQUIDITY_DRIVERS!$H$11)/52)</f>
        <v>971.211538461539</v>
      </c>
      <c r="G27" s="66" t="n">
        <f aca="false">IF(ASSUMPTIONS!$E$17="Month-end",(LIQUIDITY_DRIVERS!$H$11)/12*13W_FORECAST!G$11,(LIQUIDITY_DRIVERS!$H$11)/52)</f>
        <v>971.211538461539</v>
      </c>
      <c r="H27" s="66" t="n">
        <f aca="false">IF(ASSUMPTIONS!$E$17="Month-end",(LIQUIDITY_DRIVERS!$H$11)/12*13W_FORECAST!H$11,(LIQUIDITY_DRIVERS!$H$11)/52)</f>
        <v>971.211538461539</v>
      </c>
      <c r="I27" s="66" t="n">
        <f aca="false">IF(ASSUMPTIONS!$E$17="Month-end",(LIQUIDITY_DRIVERS!$H$11)/12*13W_FORECAST!I$11,(LIQUIDITY_DRIVERS!$H$11)/52)</f>
        <v>971.211538461539</v>
      </c>
      <c r="J27" s="66" t="n">
        <f aca="false">IF(ASSUMPTIONS!$E$17="Month-end",(LIQUIDITY_DRIVERS!$H$11)/12*13W_FORECAST!J$11,(LIQUIDITY_DRIVERS!$H$11)/52)</f>
        <v>971.211538461539</v>
      </c>
      <c r="K27" s="66" t="n">
        <f aca="false">IF(ASSUMPTIONS!$E$17="Month-end",(LIQUIDITY_DRIVERS!$H$11)/12*13W_FORECAST!K$11,(LIQUIDITY_DRIVERS!$H$11)/52)</f>
        <v>971.211538461539</v>
      </c>
      <c r="L27" s="66" t="n">
        <f aca="false">IF(ASSUMPTIONS!$E$17="Month-end",(LIQUIDITY_DRIVERS!$H$11)/12*13W_FORECAST!L$11,(LIQUIDITY_DRIVERS!$H$11)/52)</f>
        <v>971.211538461539</v>
      </c>
      <c r="M27" s="66" t="n">
        <f aca="false">IF(ASSUMPTIONS!$E$17="Month-end",(LIQUIDITY_DRIVERS!$H$11)/12*13W_FORECAST!M$11,(LIQUIDITY_DRIVERS!$H$11)/52)</f>
        <v>971.211538461539</v>
      </c>
      <c r="N27" s="66" t="n">
        <f aca="false">IF(ASSUMPTIONS!$E$17="Month-end",(LIQUIDITY_DRIVERS!$H$11)/12*13W_FORECAST!N$11,(LIQUIDITY_DRIVERS!$H$11)/52)</f>
        <v>971.211538461539</v>
      </c>
      <c r="O27" s="66" t="n">
        <f aca="false">IF(ASSUMPTIONS!$E$17="Month-end",(LIQUIDITY_DRIVERS!$H$11)/12*13W_FORECAST!O$11,(LIQUIDITY_DRIVERS!$H$11)/52)</f>
        <v>971.211538461539</v>
      </c>
      <c r="P27" s="40" t="s">
        <v>836</v>
      </c>
    </row>
    <row r="28" customFormat="false" ht="15" hidden="false" customHeight="false" outlineLevel="0" collapsed="false">
      <c r="A28" s="9" t="s">
        <v>837</v>
      </c>
      <c r="B28" s="66" t="n">
        <f aca="false">SUM(C28:O28)</f>
        <v>0</v>
      </c>
      <c r="C28" s="66" t="n">
        <f aca="false">-LIQUIDITY_DRIVERS!$H$13*(MIN(ASSUMPTIONS!$E$16,ASSUMPTIONS!$E$7*13W_FORECAST!C$8)-MIN(ASSUMPTIONS!$E$16,ASSUMPTIONS!$E$7*(13W_FORECAST!C$8-1)))</f>
        <v>-0</v>
      </c>
      <c r="D28" s="66" t="n">
        <f aca="false">-LIQUIDITY_DRIVERS!$H$13*(MIN(ASSUMPTIONS!$E$16,ASSUMPTIONS!$E$7*13W_FORECAST!D$8)-MIN(ASSUMPTIONS!$E$16,ASSUMPTIONS!$E$7*(13W_FORECAST!D$8-1)))</f>
        <v>-0</v>
      </c>
      <c r="E28" s="66" t="n">
        <f aca="false">-LIQUIDITY_DRIVERS!$H$13*(MIN(ASSUMPTIONS!$E$16,ASSUMPTIONS!$E$7*13W_FORECAST!E$8)-MIN(ASSUMPTIONS!$E$16,ASSUMPTIONS!$E$7*(13W_FORECAST!E$8-1)))</f>
        <v>-0</v>
      </c>
      <c r="F28" s="66" t="n">
        <f aca="false">-LIQUIDITY_DRIVERS!$H$13*(MIN(ASSUMPTIONS!$E$16,ASSUMPTIONS!$E$7*13W_FORECAST!F$8)-MIN(ASSUMPTIONS!$E$16,ASSUMPTIONS!$E$7*(13W_FORECAST!F$8-1)))</f>
        <v>-0</v>
      </c>
      <c r="G28" s="66" t="n">
        <f aca="false">-LIQUIDITY_DRIVERS!$H$13*(MIN(ASSUMPTIONS!$E$16,ASSUMPTIONS!$E$7*13W_FORECAST!G$8)-MIN(ASSUMPTIONS!$E$16,ASSUMPTIONS!$E$7*(13W_FORECAST!G$8-1)))</f>
        <v>-0</v>
      </c>
      <c r="H28" s="66" t="n">
        <f aca="false">-LIQUIDITY_DRIVERS!$H$13*(MIN(ASSUMPTIONS!$E$16,ASSUMPTIONS!$E$7*13W_FORECAST!H$8)-MIN(ASSUMPTIONS!$E$16,ASSUMPTIONS!$E$7*(13W_FORECAST!H$8-1)))</f>
        <v>-0</v>
      </c>
      <c r="I28" s="66" t="n">
        <f aca="false">-LIQUIDITY_DRIVERS!$H$13*(MIN(ASSUMPTIONS!$E$16,ASSUMPTIONS!$E$7*13W_FORECAST!I$8)-MIN(ASSUMPTIONS!$E$16,ASSUMPTIONS!$E$7*(13W_FORECAST!I$8-1)))</f>
        <v>-0</v>
      </c>
      <c r="J28" s="66" t="n">
        <f aca="false">-LIQUIDITY_DRIVERS!$H$13*(MIN(ASSUMPTIONS!$E$16,ASSUMPTIONS!$E$7*13W_FORECAST!J$8)-MIN(ASSUMPTIONS!$E$16,ASSUMPTIONS!$E$7*(13W_FORECAST!J$8-1)))</f>
        <v>-0</v>
      </c>
      <c r="K28" s="66" t="n">
        <f aca="false">-LIQUIDITY_DRIVERS!$H$13*(MIN(ASSUMPTIONS!$E$16,ASSUMPTIONS!$E$7*13W_FORECAST!K$8)-MIN(ASSUMPTIONS!$E$16,ASSUMPTIONS!$E$7*(13W_FORECAST!K$8-1)))</f>
        <v>-0</v>
      </c>
      <c r="L28" s="66" t="n">
        <f aca="false">-LIQUIDITY_DRIVERS!$H$13*(MIN(ASSUMPTIONS!$E$16,ASSUMPTIONS!$E$7*13W_FORECAST!L$8)-MIN(ASSUMPTIONS!$E$16,ASSUMPTIONS!$E$7*(13W_FORECAST!L$8-1)))</f>
        <v>-0</v>
      </c>
      <c r="M28" s="66" t="n">
        <f aca="false">-LIQUIDITY_DRIVERS!$H$13*(MIN(ASSUMPTIONS!$E$16,ASSUMPTIONS!$E$7*13W_FORECAST!M$8)-MIN(ASSUMPTIONS!$E$16,ASSUMPTIONS!$E$7*(13W_FORECAST!M$8-1)))</f>
        <v>-0</v>
      </c>
      <c r="N28" s="66" t="n">
        <f aca="false">-LIQUIDITY_DRIVERS!$H$13*(MIN(ASSUMPTIONS!$E$16,ASSUMPTIONS!$E$7*13W_FORECAST!N$8)-MIN(ASSUMPTIONS!$E$16,ASSUMPTIONS!$E$7*(13W_FORECAST!N$8-1)))</f>
        <v>-0</v>
      </c>
      <c r="O28" s="66" t="n">
        <f aca="false">-LIQUIDITY_DRIVERS!$H$13*(MIN(ASSUMPTIONS!$E$16,ASSUMPTIONS!$E$7*13W_FORECAST!O$8)-MIN(ASSUMPTIONS!$E$16,ASSUMPTIONS!$E$7*(13W_FORECAST!O$8-1)))</f>
        <v>-0</v>
      </c>
      <c r="P28" s="40" t="s">
        <v>838</v>
      </c>
    </row>
    <row r="29" customFormat="false" ht="15" hidden="false" customHeight="false" outlineLevel="0" collapsed="false">
      <c r="A29" s="9" t="s">
        <v>839</v>
      </c>
      <c r="B29" s="66" t="n">
        <f aca="false">SUM(C29:O29)</f>
        <v>60.75</v>
      </c>
      <c r="C29" s="66" t="n">
        <f aca="false">IF(ASSUMPTIONS!$E$28="Month-end",(LIQUIDITY_DRIVERS!$H$28)/12*13W_FORECAST!C$11,(LIQUIDITY_DRIVERS!$H$28)/52)</f>
        <v>4.67307692307692</v>
      </c>
      <c r="D29" s="66" t="n">
        <f aca="false">IF(ASSUMPTIONS!$E$28="Month-end",(LIQUIDITY_DRIVERS!$H$28)/12*13W_FORECAST!D$11,(LIQUIDITY_DRIVERS!$H$28)/52)</f>
        <v>4.67307692307692</v>
      </c>
      <c r="E29" s="66" t="n">
        <f aca="false">IF(ASSUMPTIONS!$E$28="Month-end",(LIQUIDITY_DRIVERS!$H$28)/12*13W_FORECAST!E$11,(LIQUIDITY_DRIVERS!$H$28)/52)</f>
        <v>4.67307692307692</v>
      </c>
      <c r="F29" s="66" t="n">
        <f aca="false">IF(ASSUMPTIONS!$E$28="Month-end",(LIQUIDITY_DRIVERS!$H$28)/12*13W_FORECAST!F$11,(LIQUIDITY_DRIVERS!$H$28)/52)</f>
        <v>4.67307692307692</v>
      </c>
      <c r="G29" s="66" t="n">
        <f aca="false">IF(ASSUMPTIONS!$E$28="Month-end",(LIQUIDITY_DRIVERS!$H$28)/12*13W_FORECAST!G$11,(LIQUIDITY_DRIVERS!$H$28)/52)</f>
        <v>4.67307692307692</v>
      </c>
      <c r="H29" s="66" t="n">
        <f aca="false">IF(ASSUMPTIONS!$E$28="Month-end",(LIQUIDITY_DRIVERS!$H$28)/12*13W_FORECAST!H$11,(LIQUIDITY_DRIVERS!$H$28)/52)</f>
        <v>4.67307692307692</v>
      </c>
      <c r="I29" s="66" t="n">
        <f aca="false">IF(ASSUMPTIONS!$E$28="Month-end",(LIQUIDITY_DRIVERS!$H$28)/12*13W_FORECAST!I$11,(LIQUIDITY_DRIVERS!$H$28)/52)</f>
        <v>4.67307692307692</v>
      </c>
      <c r="J29" s="66" t="n">
        <f aca="false">IF(ASSUMPTIONS!$E$28="Month-end",(LIQUIDITY_DRIVERS!$H$28)/12*13W_FORECAST!J$11,(LIQUIDITY_DRIVERS!$H$28)/52)</f>
        <v>4.67307692307692</v>
      </c>
      <c r="K29" s="66" t="n">
        <f aca="false">IF(ASSUMPTIONS!$E$28="Month-end",(LIQUIDITY_DRIVERS!$H$28)/12*13W_FORECAST!K$11,(LIQUIDITY_DRIVERS!$H$28)/52)</f>
        <v>4.67307692307692</v>
      </c>
      <c r="L29" s="66" t="n">
        <f aca="false">IF(ASSUMPTIONS!$E$28="Month-end",(LIQUIDITY_DRIVERS!$H$28)/12*13W_FORECAST!L$11,(LIQUIDITY_DRIVERS!$H$28)/52)</f>
        <v>4.67307692307692</v>
      </c>
      <c r="M29" s="66" t="n">
        <f aca="false">IF(ASSUMPTIONS!$E$28="Month-end",(LIQUIDITY_DRIVERS!$H$28)/12*13W_FORECAST!M$11,(LIQUIDITY_DRIVERS!$H$28)/52)</f>
        <v>4.67307692307692</v>
      </c>
      <c r="N29" s="66" t="n">
        <f aca="false">IF(ASSUMPTIONS!$E$28="Month-end",(LIQUIDITY_DRIVERS!$H$28)/12*13W_FORECAST!N$11,(LIQUIDITY_DRIVERS!$H$28)/52)</f>
        <v>4.67307692307692</v>
      </c>
      <c r="O29" s="66" t="n">
        <f aca="false">IF(ASSUMPTIONS!$E$28="Month-end",(LIQUIDITY_DRIVERS!$H$28)/12*13W_FORECAST!O$11,(LIQUIDITY_DRIVERS!$H$28)/52)</f>
        <v>4.67307692307692</v>
      </c>
      <c r="P29" s="40" t="s">
        <v>840</v>
      </c>
    </row>
    <row r="30" customFormat="false" ht="15" hidden="false" customHeight="false" outlineLevel="0" collapsed="false">
      <c r="A30" s="9" t="s">
        <v>841</v>
      </c>
      <c r="B30" s="66" t="n">
        <f aca="false">SUM(C30:O30)</f>
        <v>0</v>
      </c>
      <c r="C30" s="66" t="n">
        <f aca="false">ASSUMPTIONS!$E$29/13</f>
        <v>0</v>
      </c>
      <c r="D30" s="66" t="n">
        <f aca="false">ASSUMPTIONS!$E$29/13</f>
        <v>0</v>
      </c>
      <c r="E30" s="66" t="n">
        <f aca="false">ASSUMPTIONS!$E$29/13</f>
        <v>0</v>
      </c>
      <c r="F30" s="66" t="n">
        <f aca="false">ASSUMPTIONS!$E$29/13</f>
        <v>0</v>
      </c>
      <c r="G30" s="66" t="n">
        <f aca="false">ASSUMPTIONS!$E$29/13</f>
        <v>0</v>
      </c>
      <c r="H30" s="66" t="n">
        <f aca="false">ASSUMPTIONS!$E$29/13</f>
        <v>0</v>
      </c>
      <c r="I30" s="66" t="n">
        <f aca="false">ASSUMPTIONS!$E$29/13</f>
        <v>0</v>
      </c>
      <c r="J30" s="66" t="n">
        <f aca="false">ASSUMPTIONS!$E$29/13</f>
        <v>0</v>
      </c>
      <c r="K30" s="66" t="n">
        <f aca="false">ASSUMPTIONS!$E$29/13</f>
        <v>0</v>
      </c>
      <c r="L30" s="66" t="n">
        <f aca="false">ASSUMPTIONS!$E$29/13</f>
        <v>0</v>
      </c>
      <c r="M30" s="66" t="n">
        <f aca="false">ASSUMPTIONS!$E$29/13</f>
        <v>0</v>
      </c>
      <c r="N30" s="66" t="n">
        <f aca="false">ASSUMPTIONS!$E$29/13</f>
        <v>0</v>
      </c>
      <c r="O30" s="66" t="n">
        <f aca="false">ASSUMPTIONS!$E$29/13</f>
        <v>0</v>
      </c>
      <c r="P30" s="40" t="s">
        <v>842</v>
      </c>
    </row>
    <row r="31" customFormat="false" ht="15" hidden="false" customHeight="false" outlineLevel="0" collapsed="false">
      <c r="A31" s="14" t="s">
        <v>843</v>
      </c>
      <c r="B31" s="67" t="n">
        <f aca="false">SUM(C31:O31)</f>
        <v>12686.5</v>
      </c>
      <c r="C31" s="67" t="n">
        <f aca="false">SUM(C27:C30)</f>
        <v>975.884615384615</v>
      </c>
      <c r="D31" s="67" t="n">
        <f aca="false">SUM(D27:D30)</f>
        <v>975.884615384615</v>
      </c>
      <c r="E31" s="67" t="n">
        <f aca="false">SUM(E27:E30)</f>
        <v>975.884615384615</v>
      </c>
      <c r="F31" s="67" t="n">
        <f aca="false">SUM(F27:F30)</f>
        <v>975.884615384615</v>
      </c>
      <c r="G31" s="67" t="n">
        <f aca="false">SUM(G27:G30)</f>
        <v>975.884615384615</v>
      </c>
      <c r="H31" s="67" t="n">
        <f aca="false">SUM(H27:H30)</f>
        <v>975.884615384615</v>
      </c>
      <c r="I31" s="67" t="n">
        <f aca="false">SUM(I27:I30)</f>
        <v>975.884615384615</v>
      </c>
      <c r="J31" s="67" t="n">
        <f aca="false">SUM(J27:J30)</f>
        <v>975.884615384615</v>
      </c>
      <c r="K31" s="67" t="n">
        <f aca="false">SUM(K27:K30)</f>
        <v>975.884615384615</v>
      </c>
      <c r="L31" s="67" t="n">
        <f aca="false">SUM(L27:L30)</f>
        <v>975.884615384615</v>
      </c>
      <c r="M31" s="67" t="n">
        <f aca="false">SUM(M27:M30)</f>
        <v>975.884615384615</v>
      </c>
      <c r="N31" s="67" t="n">
        <f aca="false">SUM(N27:N30)</f>
        <v>975.884615384615</v>
      </c>
      <c r="O31" s="67" t="n">
        <f aca="false">SUM(O27:O30)</f>
        <v>975.884615384615</v>
      </c>
      <c r="P31" s="40"/>
    </row>
    <row r="32" customFormat="false" ht="15" hidden="false" customHeight="false" outlineLevel="0" collapsed="false">
      <c r="A32" s="7" t="s">
        <v>844</v>
      </c>
      <c r="B32" s="8"/>
      <c r="C32" s="8"/>
      <c r="D32" s="8"/>
      <c r="E32" s="8"/>
      <c r="F32" s="8"/>
      <c r="G32" s="8"/>
      <c r="H32" s="8"/>
      <c r="I32" s="8"/>
      <c r="J32" s="8"/>
      <c r="K32" s="8"/>
      <c r="L32" s="8"/>
      <c r="M32" s="8"/>
      <c r="N32" s="8"/>
      <c r="O32" s="8"/>
      <c r="P32" s="8"/>
    </row>
    <row r="33" customFormat="false" ht="15" hidden="false" customHeight="false" outlineLevel="0" collapsed="false">
      <c r="A33" s="9" t="s">
        <v>845</v>
      </c>
      <c r="B33" s="66" t="n">
        <f aca="false">SUM(C33:O33)</f>
        <v>-8220.75</v>
      </c>
      <c r="C33" s="66" t="n">
        <f aca="false">-IF(ASSUMPTIONS!$E$20="Month-end",(LIQUIDITY_DRIVERS!$H$24)/12*13W_FORECAST!C$11,(LIQUIDITY_DRIVERS!$H$24)/52)</f>
        <v>-632.365384615385</v>
      </c>
      <c r="D33" s="66" t="n">
        <f aca="false">-IF(ASSUMPTIONS!$E$20="Month-end",(LIQUIDITY_DRIVERS!$H$24)/12*13W_FORECAST!D$11,(LIQUIDITY_DRIVERS!$H$24)/52)</f>
        <v>-632.365384615385</v>
      </c>
      <c r="E33" s="66" t="n">
        <f aca="false">-IF(ASSUMPTIONS!$E$20="Month-end",(LIQUIDITY_DRIVERS!$H$24)/12*13W_FORECAST!E$11,(LIQUIDITY_DRIVERS!$H$24)/52)</f>
        <v>-632.365384615385</v>
      </c>
      <c r="F33" s="66" t="n">
        <f aca="false">-IF(ASSUMPTIONS!$E$20="Month-end",(LIQUIDITY_DRIVERS!$H$24)/12*13W_FORECAST!F$11,(LIQUIDITY_DRIVERS!$H$24)/52)</f>
        <v>-632.365384615385</v>
      </c>
      <c r="G33" s="66" t="n">
        <f aca="false">-IF(ASSUMPTIONS!$E$20="Month-end",(LIQUIDITY_DRIVERS!$H$24)/12*13W_FORECAST!G$11,(LIQUIDITY_DRIVERS!$H$24)/52)</f>
        <v>-632.365384615385</v>
      </c>
      <c r="H33" s="66" t="n">
        <f aca="false">-IF(ASSUMPTIONS!$E$20="Month-end",(LIQUIDITY_DRIVERS!$H$24)/12*13W_FORECAST!H$11,(LIQUIDITY_DRIVERS!$H$24)/52)</f>
        <v>-632.365384615385</v>
      </c>
      <c r="I33" s="66" t="n">
        <f aca="false">-IF(ASSUMPTIONS!$E$20="Month-end",(LIQUIDITY_DRIVERS!$H$24)/12*13W_FORECAST!I$11,(LIQUIDITY_DRIVERS!$H$24)/52)</f>
        <v>-632.365384615385</v>
      </c>
      <c r="J33" s="66" t="n">
        <f aca="false">-IF(ASSUMPTIONS!$E$20="Month-end",(LIQUIDITY_DRIVERS!$H$24)/12*13W_FORECAST!J$11,(LIQUIDITY_DRIVERS!$H$24)/52)</f>
        <v>-632.365384615385</v>
      </c>
      <c r="K33" s="66" t="n">
        <f aca="false">-IF(ASSUMPTIONS!$E$20="Month-end",(LIQUIDITY_DRIVERS!$H$24)/12*13W_FORECAST!K$11,(LIQUIDITY_DRIVERS!$H$24)/52)</f>
        <v>-632.365384615385</v>
      </c>
      <c r="L33" s="66" t="n">
        <f aca="false">-IF(ASSUMPTIONS!$E$20="Month-end",(LIQUIDITY_DRIVERS!$H$24)/12*13W_FORECAST!L$11,(LIQUIDITY_DRIVERS!$H$24)/52)</f>
        <v>-632.365384615385</v>
      </c>
      <c r="M33" s="66" t="n">
        <f aca="false">-IF(ASSUMPTIONS!$E$20="Month-end",(LIQUIDITY_DRIVERS!$H$24)/12*13W_FORECAST!M$11,(LIQUIDITY_DRIVERS!$H$24)/52)</f>
        <v>-632.365384615385</v>
      </c>
      <c r="N33" s="66" t="n">
        <f aca="false">-IF(ASSUMPTIONS!$E$20="Month-end",(LIQUIDITY_DRIVERS!$H$24)/12*13W_FORECAST!N$11,(LIQUIDITY_DRIVERS!$H$24)/52)</f>
        <v>-632.365384615385</v>
      </c>
      <c r="O33" s="66" t="n">
        <f aca="false">-IF(ASSUMPTIONS!$E$20="Month-end",(LIQUIDITY_DRIVERS!$H$24)/12*13W_FORECAST!O$11,(LIQUIDITY_DRIVERS!$H$24)/52)</f>
        <v>-632.365384615385</v>
      </c>
      <c r="P33" s="40" t="s">
        <v>840</v>
      </c>
    </row>
    <row r="34" customFormat="false" ht="15" hidden="false" customHeight="false" outlineLevel="0" collapsed="false">
      <c r="A34" s="9" t="s">
        <v>846</v>
      </c>
      <c r="B34" s="66" t="n">
        <f aca="false">SUM(C34:O34)</f>
        <v>0</v>
      </c>
      <c r="C34" s="66" t="n">
        <f aca="false">-LIQUIDITY_DRIVERS!$H$39*(MIN(ASSUMPTIONS!$E$18,ASSUMPTIONS!$E$7*13W_FORECAST!C$8)-MIN(ASSUMPTIONS!$E$18,ASSUMPTIONS!$E$7*(13W_FORECAST!C$8-1)))</f>
        <v>-0</v>
      </c>
      <c r="D34" s="66" t="n">
        <f aca="false">-LIQUIDITY_DRIVERS!$H$39*(MIN(ASSUMPTIONS!$E$18,ASSUMPTIONS!$E$7*13W_FORECAST!D$8)-MIN(ASSUMPTIONS!$E$18,ASSUMPTIONS!$E$7*(13W_FORECAST!D$8-1)))</f>
        <v>-0</v>
      </c>
      <c r="E34" s="66" t="n">
        <f aca="false">-LIQUIDITY_DRIVERS!$H$39*(MIN(ASSUMPTIONS!$E$18,ASSUMPTIONS!$E$7*13W_FORECAST!E$8)-MIN(ASSUMPTIONS!$E$18,ASSUMPTIONS!$E$7*(13W_FORECAST!E$8-1)))</f>
        <v>-0</v>
      </c>
      <c r="F34" s="66" t="n">
        <f aca="false">-LIQUIDITY_DRIVERS!$H$39*(MIN(ASSUMPTIONS!$E$18,ASSUMPTIONS!$E$7*13W_FORECAST!F$8)-MIN(ASSUMPTIONS!$E$18,ASSUMPTIONS!$E$7*(13W_FORECAST!F$8-1)))</f>
        <v>-0</v>
      </c>
      <c r="G34" s="66" t="n">
        <f aca="false">-LIQUIDITY_DRIVERS!$H$39*(MIN(ASSUMPTIONS!$E$18,ASSUMPTIONS!$E$7*13W_FORECAST!G$8)-MIN(ASSUMPTIONS!$E$18,ASSUMPTIONS!$E$7*(13W_FORECAST!G$8-1)))</f>
        <v>-0</v>
      </c>
      <c r="H34" s="66" t="n">
        <f aca="false">-LIQUIDITY_DRIVERS!$H$39*(MIN(ASSUMPTIONS!$E$18,ASSUMPTIONS!$E$7*13W_FORECAST!H$8)-MIN(ASSUMPTIONS!$E$18,ASSUMPTIONS!$E$7*(13W_FORECAST!H$8-1)))</f>
        <v>-0</v>
      </c>
      <c r="I34" s="66" t="n">
        <f aca="false">-LIQUIDITY_DRIVERS!$H$39*(MIN(ASSUMPTIONS!$E$18,ASSUMPTIONS!$E$7*13W_FORECAST!I$8)-MIN(ASSUMPTIONS!$E$18,ASSUMPTIONS!$E$7*(13W_FORECAST!I$8-1)))</f>
        <v>-0</v>
      </c>
      <c r="J34" s="66" t="n">
        <f aca="false">-LIQUIDITY_DRIVERS!$H$39*(MIN(ASSUMPTIONS!$E$18,ASSUMPTIONS!$E$7*13W_FORECAST!J$8)-MIN(ASSUMPTIONS!$E$18,ASSUMPTIONS!$E$7*(13W_FORECAST!J$8-1)))</f>
        <v>-0</v>
      </c>
      <c r="K34" s="66" t="n">
        <f aca="false">-LIQUIDITY_DRIVERS!$H$39*(MIN(ASSUMPTIONS!$E$18,ASSUMPTIONS!$E$7*13W_FORECAST!K$8)-MIN(ASSUMPTIONS!$E$18,ASSUMPTIONS!$E$7*(13W_FORECAST!K$8-1)))</f>
        <v>-0</v>
      </c>
      <c r="L34" s="66" t="n">
        <f aca="false">-LIQUIDITY_DRIVERS!$H$39*(MIN(ASSUMPTIONS!$E$18,ASSUMPTIONS!$E$7*13W_FORECAST!L$8)-MIN(ASSUMPTIONS!$E$18,ASSUMPTIONS!$E$7*(13W_FORECAST!L$8-1)))</f>
        <v>-0</v>
      </c>
      <c r="M34" s="66" t="n">
        <f aca="false">-LIQUIDITY_DRIVERS!$H$39*(MIN(ASSUMPTIONS!$E$18,ASSUMPTIONS!$E$7*13W_FORECAST!M$8)-MIN(ASSUMPTIONS!$E$18,ASSUMPTIONS!$E$7*(13W_FORECAST!M$8-1)))</f>
        <v>-0</v>
      </c>
      <c r="N34" s="66" t="n">
        <f aca="false">-LIQUIDITY_DRIVERS!$H$39*(MIN(ASSUMPTIONS!$E$18,ASSUMPTIONS!$E$7*13W_FORECAST!N$8)-MIN(ASSUMPTIONS!$E$18,ASSUMPTIONS!$E$7*(13W_FORECAST!N$8-1)))</f>
        <v>-0</v>
      </c>
      <c r="O34" s="66" t="n">
        <f aca="false">-LIQUIDITY_DRIVERS!$H$39*(MIN(ASSUMPTIONS!$E$18,ASSUMPTIONS!$E$7*13W_FORECAST!O$8)-MIN(ASSUMPTIONS!$E$18,ASSUMPTIONS!$E$7*(13W_FORECAST!O$8-1)))</f>
        <v>-0</v>
      </c>
      <c r="P34" s="40" t="s">
        <v>840</v>
      </c>
    </row>
    <row r="35" customFormat="false" ht="15" hidden="false" customHeight="false" outlineLevel="0" collapsed="false">
      <c r="A35" s="9" t="s">
        <v>847</v>
      </c>
      <c r="B35" s="66" t="n">
        <f aca="false">SUM(C35:O35)</f>
        <v>0</v>
      </c>
      <c r="C35" s="66" t="n">
        <f aca="false">-LIQUIDITY_DRIVERS!$H$39*(MIN(ASSUMPTIONS!$E$19,ASSUMPTIONS!$E$7*13W_FORECAST!C$8)-MIN(ASSUMPTIONS!$E$19,ASSUMPTIONS!$E$7*(13W_FORECAST!C$8-1)))</f>
        <v>-0</v>
      </c>
      <c r="D35" s="66" t="n">
        <f aca="false">-LIQUIDITY_DRIVERS!$H$39*(MIN(ASSUMPTIONS!$E$19,ASSUMPTIONS!$E$7*13W_FORECAST!D$8)-MIN(ASSUMPTIONS!$E$19,ASSUMPTIONS!$E$7*(13W_FORECAST!D$8-1)))</f>
        <v>-0</v>
      </c>
      <c r="E35" s="66" t="n">
        <f aca="false">-LIQUIDITY_DRIVERS!$H$39*(MIN(ASSUMPTIONS!$E$19,ASSUMPTIONS!$E$7*13W_FORECAST!E$8)-MIN(ASSUMPTIONS!$E$19,ASSUMPTIONS!$E$7*(13W_FORECAST!E$8-1)))</f>
        <v>-0</v>
      </c>
      <c r="F35" s="66" t="n">
        <f aca="false">-LIQUIDITY_DRIVERS!$H$39*(MIN(ASSUMPTIONS!$E$19,ASSUMPTIONS!$E$7*13W_FORECAST!F$8)-MIN(ASSUMPTIONS!$E$19,ASSUMPTIONS!$E$7*(13W_FORECAST!F$8-1)))</f>
        <v>-0</v>
      </c>
      <c r="G35" s="66" t="n">
        <f aca="false">-LIQUIDITY_DRIVERS!$H$39*(MIN(ASSUMPTIONS!$E$19,ASSUMPTIONS!$E$7*13W_FORECAST!G$8)-MIN(ASSUMPTIONS!$E$19,ASSUMPTIONS!$E$7*(13W_FORECAST!G$8-1)))</f>
        <v>-0</v>
      </c>
      <c r="H35" s="66" t="n">
        <f aca="false">-LIQUIDITY_DRIVERS!$H$39*(MIN(ASSUMPTIONS!$E$19,ASSUMPTIONS!$E$7*13W_FORECAST!H$8)-MIN(ASSUMPTIONS!$E$19,ASSUMPTIONS!$E$7*(13W_FORECAST!H$8-1)))</f>
        <v>-0</v>
      </c>
      <c r="I35" s="66" t="n">
        <f aca="false">-LIQUIDITY_DRIVERS!$H$39*(MIN(ASSUMPTIONS!$E$19,ASSUMPTIONS!$E$7*13W_FORECAST!I$8)-MIN(ASSUMPTIONS!$E$19,ASSUMPTIONS!$E$7*(13W_FORECAST!I$8-1)))</f>
        <v>-0</v>
      </c>
      <c r="J35" s="66" t="n">
        <f aca="false">-LIQUIDITY_DRIVERS!$H$39*(MIN(ASSUMPTIONS!$E$19,ASSUMPTIONS!$E$7*13W_FORECAST!J$8)-MIN(ASSUMPTIONS!$E$19,ASSUMPTIONS!$E$7*(13W_FORECAST!J$8-1)))</f>
        <v>-0</v>
      </c>
      <c r="K35" s="66" t="n">
        <f aca="false">-LIQUIDITY_DRIVERS!$H$39*(MIN(ASSUMPTIONS!$E$19,ASSUMPTIONS!$E$7*13W_FORECAST!K$8)-MIN(ASSUMPTIONS!$E$19,ASSUMPTIONS!$E$7*(13W_FORECAST!K$8-1)))</f>
        <v>-0</v>
      </c>
      <c r="L35" s="66" t="n">
        <f aca="false">-LIQUIDITY_DRIVERS!$H$39*(MIN(ASSUMPTIONS!$E$19,ASSUMPTIONS!$E$7*13W_FORECAST!L$8)-MIN(ASSUMPTIONS!$E$19,ASSUMPTIONS!$E$7*(13W_FORECAST!L$8-1)))</f>
        <v>-0</v>
      </c>
      <c r="M35" s="66" t="n">
        <f aca="false">-LIQUIDITY_DRIVERS!$H$39*(MIN(ASSUMPTIONS!$E$19,ASSUMPTIONS!$E$7*13W_FORECAST!M$8)-MIN(ASSUMPTIONS!$E$19,ASSUMPTIONS!$E$7*(13W_FORECAST!M$8-1)))</f>
        <v>-0</v>
      </c>
      <c r="N35" s="66" t="n">
        <f aca="false">-LIQUIDITY_DRIVERS!$H$39*(MIN(ASSUMPTIONS!$E$19,ASSUMPTIONS!$E$7*13W_FORECAST!N$8)-MIN(ASSUMPTIONS!$E$19,ASSUMPTIONS!$E$7*(13W_FORECAST!N$8-1)))</f>
        <v>-0</v>
      </c>
      <c r="O35" s="66" t="n">
        <f aca="false">-LIQUIDITY_DRIVERS!$H$39*(MIN(ASSUMPTIONS!$E$19,ASSUMPTIONS!$E$7*13W_FORECAST!O$8)-MIN(ASSUMPTIONS!$E$19,ASSUMPTIONS!$E$7*(13W_FORECAST!O$8-1)))</f>
        <v>-0</v>
      </c>
      <c r="P35" s="40" t="s">
        <v>840</v>
      </c>
    </row>
    <row r="36" customFormat="false" ht="15" hidden="false" customHeight="false" outlineLevel="0" collapsed="false">
      <c r="A36" s="9" t="s">
        <v>848</v>
      </c>
      <c r="B36" s="66" t="n">
        <f aca="false">SUM(C36:O36)</f>
        <v>-1661</v>
      </c>
      <c r="C36" s="66" t="n">
        <f aca="false">-IF(ASSUMPTIONS!$E$22="Month-end",(LIQUIDITY_DRIVERS!$H$25)/12*13W_FORECAST!C$11,(LIQUIDITY_DRIVERS!$H$25)/52)</f>
        <v>-0</v>
      </c>
      <c r="D36" s="66" t="n">
        <f aca="false">-IF(ASSUMPTIONS!$E$22="Month-end",(LIQUIDITY_DRIVERS!$H$25)/12*13W_FORECAST!D$11,(LIQUIDITY_DRIVERS!$H$25)/52)</f>
        <v>-0</v>
      </c>
      <c r="E36" s="66" t="n">
        <f aca="false">-IF(ASSUMPTIONS!$E$22="Month-end",(LIQUIDITY_DRIVERS!$H$25)/12*13W_FORECAST!E$11,(LIQUIDITY_DRIVERS!$H$25)/52)</f>
        <v>-0</v>
      </c>
      <c r="F36" s="66" t="n">
        <f aca="false">-IF(ASSUMPTIONS!$E$22="Month-end",(LIQUIDITY_DRIVERS!$H$25)/12*13W_FORECAST!F$11,(LIQUIDITY_DRIVERS!$H$25)/52)</f>
        <v>-0</v>
      </c>
      <c r="G36" s="66" t="n">
        <f aca="false">-IF(ASSUMPTIONS!$E$22="Month-end",(LIQUIDITY_DRIVERS!$H$25)/12*13W_FORECAST!G$11,(LIQUIDITY_DRIVERS!$H$25)/52)</f>
        <v>-553.666666666667</v>
      </c>
      <c r="H36" s="66" t="n">
        <f aca="false">-IF(ASSUMPTIONS!$E$22="Month-end",(LIQUIDITY_DRIVERS!$H$25)/12*13W_FORECAST!H$11,(LIQUIDITY_DRIVERS!$H$25)/52)</f>
        <v>-0</v>
      </c>
      <c r="I36" s="66" t="n">
        <f aca="false">-IF(ASSUMPTIONS!$E$22="Month-end",(LIQUIDITY_DRIVERS!$H$25)/12*13W_FORECAST!I$11,(LIQUIDITY_DRIVERS!$H$25)/52)</f>
        <v>-0</v>
      </c>
      <c r="J36" s="66" t="n">
        <f aca="false">-IF(ASSUMPTIONS!$E$22="Month-end",(LIQUIDITY_DRIVERS!$H$25)/12*13W_FORECAST!J$11,(LIQUIDITY_DRIVERS!$H$25)/52)</f>
        <v>-0</v>
      </c>
      <c r="K36" s="66" t="n">
        <f aca="false">-IF(ASSUMPTIONS!$E$22="Month-end",(LIQUIDITY_DRIVERS!$H$25)/12*13W_FORECAST!K$11,(LIQUIDITY_DRIVERS!$H$25)/52)</f>
        <v>-553.666666666667</v>
      </c>
      <c r="L36" s="66" t="n">
        <f aca="false">-IF(ASSUMPTIONS!$E$22="Month-end",(LIQUIDITY_DRIVERS!$H$25)/12*13W_FORECAST!L$11,(LIQUIDITY_DRIVERS!$H$25)/52)</f>
        <v>-0</v>
      </c>
      <c r="M36" s="66" t="n">
        <f aca="false">-IF(ASSUMPTIONS!$E$22="Month-end",(LIQUIDITY_DRIVERS!$H$25)/12*13W_FORECAST!M$11,(LIQUIDITY_DRIVERS!$H$25)/52)</f>
        <v>-0</v>
      </c>
      <c r="N36" s="66" t="n">
        <f aca="false">-IF(ASSUMPTIONS!$E$22="Month-end",(LIQUIDITY_DRIVERS!$H$25)/12*13W_FORECAST!N$11,(LIQUIDITY_DRIVERS!$H$25)/52)</f>
        <v>-0</v>
      </c>
      <c r="O36" s="66" t="n">
        <f aca="false">-IF(ASSUMPTIONS!$E$22="Month-end",(LIQUIDITY_DRIVERS!$H$25)/12*13W_FORECAST!O$11,(LIQUIDITY_DRIVERS!$H$25)/52)</f>
        <v>-553.666666666667</v>
      </c>
      <c r="P36" s="40" t="s">
        <v>840</v>
      </c>
    </row>
    <row r="37" customFormat="false" ht="15" hidden="false" customHeight="false" outlineLevel="0" collapsed="false">
      <c r="A37" s="9" t="s">
        <v>268</v>
      </c>
      <c r="B37" s="66" t="n">
        <f aca="false">SUM(C37:O37)</f>
        <v>-680</v>
      </c>
      <c r="C37" s="66" t="n">
        <f aca="false">-IF(ASSUMPTIONS!$E$24="Month-end",(LIQUIDITY_DRIVERS!$H$58)/12*13W_FORECAST!C$11,(LIQUIDITY_DRIVERS!$H$58)/52)</f>
        <v>-0</v>
      </c>
      <c r="D37" s="66" t="n">
        <f aca="false">-IF(ASSUMPTIONS!$E$24="Month-end",(LIQUIDITY_DRIVERS!$H$58)/12*13W_FORECAST!D$11,(LIQUIDITY_DRIVERS!$H$58)/52)</f>
        <v>-0</v>
      </c>
      <c r="E37" s="66" t="n">
        <f aca="false">-IF(ASSUMPTIONS!$E$24="Month-end",(LIQUIDITY_DRIVERS!$H$58)/12*13W_FORECAST!E$11,(LIQUIDITY_DRIVERS!$H$58)/52)</f>
        <v>-0</v>
      </c>
      <c r="F37" s="66" t="n">
        <f aca="false">-IF(ASSUMPTIONS!$E$24="Month-end",(LIQUIDITY_DRIVERS!$H$58)/12*13W_FORECAST!F$11,(LIQUIDITY_DRIVERS!$H$58)/52)</f>
        <v>-0</v>
      </c>
      <c r="G37" s="66" t="n">
        <f aca="false">-IF(ASSUMPTIONS!$E$24="Month-end",(LIQUIDITY_DRIVERS!$H$58)/12*13W_FORECAST!G$11,(LIQUIDITY_DRIVERS!$H$58)/52)</f>
        <v>-226.666666666667</v>
      </c>
      <c r="H37" s="66" t="n">
        <f aca="false">-IF(ASSUMPTIONS!$E$24="Month-end",(LIQUIDITY_DRIVERS!$H$58)/12*13W_FORECAST!H$11,(LIQUIDITY_DRIVERS!$H$58)/52)</f>
        <v>-0</v>
      </c>
      <c r="I37" s="66" t="n">
        <f aca="false">-IF(ASSUMPTIONS!$E$24="Month-end",(LIQUIDITY_DRIVERS!$H$58)/12*13W_FORECAST!I$11,(LIQUIDITY_DRIVERS!$H$58)/52)</f>
        <v>-0</v>
      </c>
      <c r="J37" s="66" t="n">
        <f aca="false">-IF(ASSUMPTIONS!$E$24="Month-end",(LIQUIDITY_DRIVERS!$H$58)/12*13W_FORECAST!J$11,(LIQUIDITY_DRIVERS!$H$58)/52)</f>
        <v>-0</v>
      </c>
      <c r="K37" s="66" t="n">
        <f aca="false">-IF(ASSUMPTIONS!$E$24="Month-end",(LIQUIDITY_DRIVERS!$H$58)/12*13W_FORECAST!K$11,(LIQUIDITY_DRIVERS!$H$58)/52)</f>
        <v>-226.666666666667</v>
      </c>
      <c r="L37" s="66" t="n">
        <f aca="false">-IF(ASSUMPTIONS!$E$24="Month-end",(LIQUIDITY_DRIVERS!$H$58)/12*13W_FORECAST!L$11,(LIQUIDITY_DRIVERS!$H$58)/52)</f>
        <v>-0</v>
      </c>
      <c r="M37" s="66" t="n">
        <f aca="false">-IF(ASSUMPTIONS!$E$24="Month-end",(LIQUIDITY_DRIVERS!$H$58)/12*13W_FORECAST!M$11,(LIQUIDITY_DRIVERS!$H$58)/52)</f>
        <v>-0</v>
      </c>
      <c r="N37" s="66" t="n">
        <f aca="false">-IF(ASSUMPTIONS!$E$24="Month-end",(LIQUIDITY_DRIVERS!$H$58)/12*13W_FORECAST!N$11,(LIQUIDITY_DRIVERS!$H$58)/52)</f>
        <v>-0</v>
      </c>
      <c r="O37" s="66" t="n">
        <f aca="false">-IF(ASSUMPTIONS!$E$24="Month-end",(LIQUIDITY_DRIVERS!$H$58)/12*13W_FORECAST!O$11,(LIQUIDITY_DRIVERS!$H$58)/52)</f>
        <v>-226.666666666667</v>
      </c>
      <c r="P37" s="40" t="s">
        <v>840</v>
      </c>
    </row>
    <row r="38" customFormat="false" ht="15" hidden="false" customHeight="false" outlineLevel="0" collapsed="false">
      <c r="A38" s="9" t="s">
        <v>764</v>
      </c>
      <c r="B38" s="66" t="n">
        <f aca="false">SUM(C38:O38)</f>
        <v>-366.25</v>
      </c>
      <c r="C38" s="66" t="n">
        <f aca="false">-IF(ASSUMPTIONS!$E$26="Month-end",(LIQUIDITY_DRIVERS!$H$50)/12*13W_FORECAST!C$11,(LIQUIDITY_DRIVERS!$H$50)/52)</f>
        <v>-28.1730769230769</v>
      </c>
      <c r="D38" s="66" t="n">
        <f aca="false">-IF(ASSUMPTIONS!$E$26="Month-end",(LIQUIDITY_DRIVERS!$H$50)/12*13W_FORECAST!D$11,(LIQUIDITY_DRIVERS!$H$50)/52)</f>
        <v>-28.1730769230769</v>
      </c>
      <c r="E38" s="66" t="n">
        <f aca="false">-IF(ASSUMPTIONS!$E$26="Month-end",(LIQUIDITY_DRIVERS!$H$50)/12*13W_FORECAST!E$11,(LIQUIDITY_DRIVERS!$H$50)/52)</f>
        <v>-28.1730769230769</v>
      </c>
      <c r="F38" s="66" t="n">
        <f aca="false">-IF(ASSUMPTIONS!$E$26="Month-end",(LIQUIDITY_DRIVERS!$H$50)/12*13W_FORECAST!F$11,(LIQUIDITY_DRIVERS!$H$50)/52)</f>
        <v>-28.1730769230769</v>
      </c>
      <c r="G38" s="66" t="n">
        <f aca="false">-IF(ASSUMPTIONS!$E$26="Month-end",(LIQUIDITY_DRIVERS!$H$50)/12*13W_FORECAST!G$11,(LIQUIDITY_DRIVERS!$H$50)/52)</f>
        <v>-28.1730769230769</v>
      </c>
      <c r="H38" s="66" t="n">
        <f aca="false">-IF(ASSUMPTIONS!$E$26="Month-end",(LIQUIDITY_DRIVERS!$H$50)/12*13W_FORECAST!H$11,(LIQUIDITY_DRIVERS!$H$50)/52)</f>
        <v>-28.1730769230769</v>
      </c>
      <c r="I38" s="66" t="n">
        <f aca="false">-IF(ASSUMPTIONS!$E$26="Month-end",(LIQUIDITY_DRIVERS!$H$50)/12*13W_FORECAST!I$11,(LIQUIDITY_DRIVERS!$H$50)/52)</f>
        <v>-28.1730769230769</v>
      </c>
      <c r="J38" s="66" t="n">
        <f aca="false">-IF(ASSUMPTIONS!$E$26="Month-end",(LIQUIDITY_DRIVERS!$H$50)/12*13W_FORECAST!J$11,(LIQUIDITY_DRIVERS!$H$50)/52)</f>
        <v>-28.1730769230769</v>
      </c>
      <c r="K38" s="66" t="n">
        <f aca="false">-IF(ASSUMPTIONS!$E$26="Month-end",(LIQUIDITY_DRIVERS!$H$50)/12*13W_FORECAST!K$11,(LIQUIDITY_DRIVERS!$H$50)/52)</f>
        <v>-28.1730769230769</v>
      </c>
      <c r="L38" s="66" t="n">
        <f aca="false">-IF(ASSUMPTIONS!$E$26="Month-end",(LIQUIDITY_DRIVERS!$H$50)/12*13W_FORECAST!L$11,(LIQUIDITY_DRIVERS!$H$50)/52)</f>
        <v>-28.1730769230769</v>
      </c>
      <c r="M38" s="66" t="n">
        <f aca="false">-IF(ASSUMPTIONS!$E$26="Month-end",(LIQUIDITY_DRIVERS!$H$50)/12*13W_FORECAST!M$11,(LIQUIDITY_DRIVERS!$H$50)/52)</f>
        <v>-28.1730769230769</v>
      </c>
      <c r="N38" s="66" t="n">
        <f aca="false">-IF(ASSUMPTIONS!$E$26="Month-end",(LIQUIDITY_DRIVERS!$H$50)/12*13W_FORECAST!N$11,(LIQUIDITY_DRIVERS!$H$50)/52)</f>
        <v>-28.1730769230769</v>
      </c>
      <c r="O38" s="66" t="n">
        <f aca="false">-IF(ASSUMPTIONS!$E$26="Month-end",(LIQUIDITY_DRIVERS!$H$50)/12*13W_FORECAST!O$11,(LIQUIDITY_DRIVERS!$H$50)/52)</f>
        <v>-28.1730769230769</v>
      </c>
      <c r="P38" s="40" t="s">
        <v>840</v>
      </c>
    </row>
    <row r="39" customFormat="false" ht="15" hidden="false" customHeight="false" outlineLevel="0" collapsed="false">
      <c r="A39" s="9" t="s">
        <v>849</v>
      </c>
      <c r="B39" s="66" t="n">
        <f aca="false">SUM(C39:O39)</f>
        <v>-254.5</v>
      </c>
      <c r="C39" s="66" t="n">
        <f aca="false">-IF(ASSUMPTIONS!$E$33="Month-end",(LIQUIDITY_DRIVERS!$H$67)/12*13W_FORECAST!C$11,(LIQUIDITY_DRIVERS!$H$67)/52)</f>
        <v>-19.5769230769231</v>
      </c>
      <c r="D39" s="66" t="n">
        <f aca="false">-IF(ASSUMPTIONS!$E$33="Month-end",(LIQUIDITY_DRIVERS!$H$67)/12*13W_FORECAST!D$11,(LIQUIDITY_DRIVERS!$H$67)/52)</f>
        <v>-19.5769230769231</v>
      </c>
      <c r="E39" s="66" t="n">
        <f aca="false">-IF(ASSUMPTIONS!$E$33="Month-end",(LIQUIDITY_DRIVERS!$H$67)/12*13W_FORECAST!E$11,(LIQUIDITY_DRIVERS!$H$67)/52)</f>
        <v>-19.5769230769231</v>
      </c>
      <c r="F39" s="66" t="n">
        <f aca="false">-IF(ASSUMPTIONS!$E$33="Month-end",(LIQUIDITY_DRIVERS!$H$67)/12*13W_FORECAST!F$11,(LIQUIDITY_DRIVERS!$H$67)/52)</f>
        <v>-19.5769230769231</v>
      </c>
      <c r="G39" s="66" t="n">
        <f aca="false">-IF(ASSUMPTIONS!$E$33="Month-end",(LIQUIDITY_DRIVERS!$H$67)/12*13W_FORECAST!G$11,(LIQUIDITY_DRIVERS!$H$67)/52)</f>
        <v>-19.5769230769231</v>
      </c>
      <c r="H39" s="66" t="n">
        <f aca="false">-IF(ASSUMPTIONS!$E$33="Month-end",(LIQUIDITY_DRIVERS!$H$67)/12*13W_FORECAST!H$11,(LIQUIDITY_DRIVERS!$H$67)/52)</f>
        <v>-19.5769230769231</v>
      </c>
      <c r="I39" s="66" t="n">
        <f aca="false">-IF(ASSUMPTIONS!$E$33="Month-end",(LIQUIDITY_DRIVERS!$H$67)/12*13W_FORECAST!I$11,(LIQUIDITY_DRIVERS!$H$67)/52)</f>
        <v>-19.5769230769231</v>
      </c>
      <c r="J39" s="66" t="n">
        <f aca="false">-IF(ASSUMPTIONS!$E$33="Month-end",(LIQUIDITY_DRIVERS!$H$67)/12*13W_FORECAST!J$11,(LIQUIDITY_DRIVERS!$H$67)/52)</f>
        <v>-19.5769230769231</v>
      </c>
      <c r="K39" s="66" t="n">
        <f aca="false">-IF(ASSUMPTIONS!$E$33="Month-end",(LIQUIDITY_DRIVERS!$H$67)/12*13W_FORECAST!K$11,(LIQUIDITY_DRIVERS!$H$67)/52)</f>
        <v>-19.5769230769231</v>
      </c>
      <c r="L39" s="66" t="n">
        <f aca="false">-IF(ASSUMPTIONS!$E$33="Month-end",(LIQUIDITY_DRIVERS!$H$67)/12*13W_FORECAST!L$11,(LIQUIDITY_DRIVERS!$H$67)/52)</f>
        <v>-19.5769230769231</v>
      </c>
      <c r="M39" s="66" t="n">
        <f aca="false">-IF(ASSUMPTIONS!$E$33="Month-end",(LIQUIDITY_DRIVERS!$H$67)/12*13W_FORECAST!M$11,(LIQUIDITY_DRIVERS!$H$67)/52)</f>
        <v>-19.5769230769231</v>
      </c>
      <c r="N39" s="66" t="n">
        <f aca="false">-IF(ASSUMPTIONS!$E$33="Month-end",(LIQUIDITY_DRIVERS!$H$67)/12*13W_FORECAST!N$11,(LIQUIDITY_DRIVERS!$H$67)/52)</f>
        <v>-19.5769230769231</v>
      </c>
      <c r="O39" s="66" t="n">
        <f aca="false">-IF(ASSUMPTIONS!$E$33="Month-end",(LIQUIDITY_DRIVERS!$H$67)/12*13W_FORECAST!O$11,(LIQUIDITY_DRIVERS!$H$67)/52)</f>
        <v>-19.5769230769231</v>
      </c>
      <c r="P39" s="40" t="s">
        <v>840</v>
      </c>
    </row>
    <row r="40" customFormat="false" ht="15" hidden="false" customHeight="false" outlineLevel="0" collapsed="false">
      <c r="A40" s="9" t="s">
        <v>850</v>
      </c>
      <c r="B40" s="66" t="n">
        <f aca="false">SUM(C40:O40)</f>
        <v>-51</v>
      </c>
      <c r="C40" s="66" t="n">
        <f aca="false">-IF(ASSUMPTIONS!$E$27="Month-end",(LIQUIDITY_DRIVERS!$H$26)/12*13W_FORECAST!C$11,(LIQUIDITY_DRIVERS!$H$26)/52)</f>
        <v>-3.92307692307692</v>
      </c>
      <c r="D40" s="66" t="n">
        <f aca="false">-IF(ASSUMPTIONS!$E$27="Month-end",(LIQUIDITY_DRIVERS!$H$26)/12*13W_FORECAST!D$11,(LIQUIDITY_DRIVERS!$H$26)/52)</f>
        <v>-3.92307692307692</v>
      </c>
      <c r="E40" s="66" t="n">
        <f aca="false">-IF(ASSUMPTIONS!$E$27="Month-end",(LIQUIDITY_DRIVERS!$H$26)/12*13W_FORECAST!E$11,(LIQUIDITY_DRIVERS!$H$26)/52)</f>
        <v>-3.92307692307692</v>
      </c>
      <c r="F40" s="66" t="n">
        <f aca="false">-IF(ASSUMPTIONS!$E$27="Month-end",(LIQUIDITY_DRIVERS!$H$26)/12*13W_FORECAST!F$11,(LIQUIDITY_DRIVERS!$H$26)/52)</f>
        <v>-3.92307692307692</v>
      </c>
      <c r="G40" s="66" t="n">
        <f aca="false">-IF(ASSUMPTIONS!$E$27="Month-end",(LIQUIDITY_DRIVERS!$H$26)/12*13W_FORECAST!G$11,(LIQUIDITY_DRIVERS!$H$26)/52)</f>
        <v>-3.92307692307692</v>
      </c>
      <c r="H40" s="66" t="n">
        <f aca="false">-IF(ASSUMPTIONS!$E$27="Month-end",(LIQUIDITY_DRIVERS!$H$26)/12*13W_FORECAST!H$11,(LIQUIDITY_DRIVERS!$H$26)/52)</f>
        <v>-3.92307692307692</v>
      </c>
      <c r="I40" s="66" t="n">
        <f aca="false">-IF(ASSUMPTIONS!$E$27="Month-end",(LIQUIDITY_DRIVERS!$H$26)/12*13W_FORECAST!I$11,(LIQUIDITY_DRIVERS!$H$26)/52)</f>
        <v>-3.92307692307692</v>
      </c>
      <c r="J40" s="66" t="n">
        <f aca="false">-IF(ASSUMPTIONS!$E$27="Month-end",(LIQUIDITY_DRIVERS!$H$26)/12*13W_FORECAST!J$11,(LIQUIDITY_DRIVERS!$H$26)/52)</f>
        <v>-3.92307692307692</v>
      </c>
      <c r="K40" s="66" t="n">
        <f aca="false">-IF(ASSUMPTIONS!$E$27="Month-end",(LIQUIDITY_DRIVERS!$H$26)/12*13W_FORECAST!K$11,(LIQUIDITY_DRIVERS!$H$26)/52)</f>
        <v>-3.92307692307692</v>
      </c>
      <c r="L40" s="66" t="n">
        <f aca="false">-IF(ASSUMPTIONS!$E$27="Month-end",(LIQUIDITY_DRIVERS!$H$26)/12*13W_FORECAST!L$11,(LIQUIDITY_DRIVERS!$H$26)/52)</f>
        <v>-3.92307692307692</v>
      </c>
      <c r="M40" s="66" t="n">
        <f aca="false">-IF(ASSUMPTIONS!$E$27="Month-end",(LIQUIDITY_DRIVERS!$H$26)/12*13W_FORECAST!M$11,(LIQUIDITY_DRIVERS!$H$26)/52)</f>
        <v>-3.92307692307692</v>
      </c>
      <c r="N40" s="66" t="n">
        <f aca="false">-IF(ASSUMPTIONS!$E$27="Month-end",(LIQUIDITY_DRIVERS!$H$26)/12*13W_FORECAST!N$11,(LIQUIDITY_DRIVERS!$H$26)/52)</f>
        <v>-3.92307692307692</v>
      </c>
      <c r="O40" s="66" t="n">
        <f aca="false">-IF(ASSUMPTIONS!$E$27="Month-end",(LIQUIDITY_DRIVERS!$H$26)/12*13W_FORECAST!O$11,(LIQUIDITY_DRIVERS!$H$26)/52)</f>
        <v>-3.92307692307692</v>
      </c>
      <c r="P40" s="40" t="s">
        <v>840</v>
      </c>
    </row>
    <row r="41" customFormat="false" ht="15" hidden="false" customHeight="false" outlineLevel="0" collapsed="false">
      <c r="A41" s="14" t="s">
        <v>851</v>
      </c>
      <c r="B41" s="67" t="n">
        <f aca="false">SUM(C41:O41)</f>
        <v>-11233.5</v>
      </c>
      <c r="C41" s="67" t="n">
        <f aca="false">SUM(C33:C40)</f>
        <v>-684.038461538462</v>
      </c>
      <c r="D41" s="67" t="n">
        <f aca="false">SUM(D33:D40)</f>
        <v>-684.038461538462</v>
      </c>
      <c r="E41" s="67" t="n">
        <f aca="false">SUM(E33:E40)</f>
        <v>-684.038461538462</v>
      </c>
      <c r="F41" s="67" t="n">
        <f aca="false">SUM(F33:F40)</f>
        <v>-684.038461538462</v>
      </c>
      <c r="G41" s="67" t="n">
        <f aca="false">SUM(G33:G40)</f>
        <v>-1464.3717948718</v>
      </c>
      <c r="H41" s="67" t="n">
        <f aca="false">SUM(H33:H40)</f>
        <v>-684.038461538462</v>
      </c>
      <c r="I41" s="67" t="n">
        <f aca="false">SUM(I33:I40)</f>
        <v>-684.038461538462</v>
      </c>
      <c r="J41" s="67" t="n">
        <f aca="false">SUM(J33:J40)</f>
        <v>-684.038461538462</v>
      </c>
      <c r="K41" s="67" t="n">
        <f aca="false">SUM(K33:K40)</f>
        <v>-1464.3717948718</v>
      </c>
      <c r="L41" s="67" t="n">
        <f aca="false">SUM(L33:L40)</f>
        <v>-684.038461538462</v>
      </c>
      <c r="M41" s="67" t="n">
        <f aca="false">SUM(M33:M40)</f>
        <v>-684.038461538462</v>
      </c>
      <c r="N41" s="67" t="n">
        <f aca="false">SUM(N33:N40)</f>
        <v>-684.038461538462</v>
      </c>
      <c r="O41" s="67" t="n">
        <f aca="false">SUM(O33:O40)</f>
        <v>-1464.3717948718</v>
      </c>
      <c r="P41" s="40"/>
    </row>
    <row r="42" customFormat="false" ht="15" hidden="false" customHeight="false" outlineLevel="0" collapsed="false">
      <c r="A42" s="9" t="s">
        <v>852</v>
      </c>
      <c r="B42" s="66" t="n">
        <f aca="false">SUM(C42:O42)</f>
        <v>0</v>
      </c>
      <c r="C42" s="66" t="n">
        <f aca="false">ASSUMPTIONS!$E$49*((1-ASSUMPTIONS!$E$50)*C31+(1-ASSUMPTIONS!$E$54)*C41)</f>
        <v>0</v>
      </c>
      <c r="D42" s="66" t="n">
        <f aca="false">ASSUMPTIONS!$E$49*((1-ASSUMPTIONS!$E$50)*D31+(1-ASSUMPTIONS!$E$54)*D41)</f>
        <v>0</v>
      </c>
      <c r="E42" s="66" t="n">
        <f aca="false">ASSUMPTIONS!$E$49*((1-ASSUMPTIONS!$E$50)*E31+(1-ASSUMPTIONS!$E$54)*E41)</f>
        <v>0</v>
      </c>
      <c r="F42" s="66" t="n">
        <f aca="false">ASSUMPTIONS!$E$49*((1-ASSUMPTIONS!$E$50)*F31+(1-ASSUMPTIONS!$E$54)*F41)</f>
        <v>0</v>
      </c>
      <c r="G42" s="66" t="n">
        <f aca="false">ASSUMPTIONS!$E$49*((1-ASSUMPTIONS!$E$50)*G31+(1-ASSUMPTIONS!$E$54)*G41)</f>
        <v>-0</v>
      </c>
      <c r="H42" s="66" t="n">
        <f aca="false">ASSUMPTIONS!$E$49*((1-ASSUMPTIONS!$E$50)*H31+(1-ASSUMPTIONS!$E$54)*H41)</f>
        <v>0</v>
      </c>
      <c r="I42" s="66" t="n">
        <f aca="false">ASSUMPTIONS!$E$49*((1-ASSUMPTIONS!$E$50)*I31+(1-ASSUMPTIONS!$E$54)*I41)</f>
        <v>0</v>
      </c>
      <c r="J42" s="66" t="n">
        <f aca="false">ASSUMPTIONS!$E$49*((1-ASSUMPTIONS!$E$50)*J31+(1-ASSUMPTIONS!$E$54)*J41)</f>
        <v>0</v>
      </c>
      <c r="K42" s="66" t="n">
        <f aca="false">ASSUMPTIONS!$E$49*((1-ASSUMPTIONS!$E$50)*K31+(1-ASSUMPTIONS!$E$54)*K41)</f>
        <v>-0</v>
      </c>
      <c r="L42" s="66" t="n">
        <f aca="false">ASSUMPTIONS!$E$49*((1-ASSUMPTIONS!$E$50)*L31+(1-ASSUMPTIONS!$E$54)*L41)</f>
        <v>0</v>
      </c>
      <c r="M42" s="66" t="n">
        <f aca="false">ASSUMPTIONS!$E$49*((1-ASSUMPTIONS!$E$50)*M31+(1-ASSUMPTIONS!$E$54)*M41)</f>
        <v>0</v>
      </c>
      <c r="N42" s="66" t="n">
        <f aca="false">ASSUMPTIONS!$E$49*((1-ASSUMPTIONS!$E$50)*N31+(1-ASSUMPTIONS!$E$54)*N41)</f>
        <v>0</v>
      </c>
      <c r="O42" s="66" t="n">
        <f aca="false">ASSUMPTIONS!$E$49*((1-ASSUMPTIONS!$E$50)*O31+(1-ASSUMPTIONS!$E$54)*O41)</f>
        <v>-0</v>
      </c>
      <c r="P42" s="40" t="s">
        <v>853</v>
      </c>
    </row>
    <row r="43" customFormat="false" ht="15" hidden="false" customHeight="false" outlineLevel="0" collapsed="false">
      <c r="A43" s="14" t="s">
        <v>854</v>
      </c>
      <c r="B43" s="67" t="n">
        <f aca="false">SUM(C43:O43)</f>
        <v>1453</v>
      </c>
      <c r="C43" s="67" t="n">
        <f aca="false">C31+C41+C42</f>
        <v>291.846153846154</v>
      </c>
      <c r="D43" s="67" t="n">
        <f aca="false">D31+D41+D42</f>
        <v>291.846153846154</v>
      </c>
      <c r="E43" s="67" t="n">
        <f aca="false">E31+E41+E42</f>
        <v>291.846153846154</v>
      </c>
      <c r="F43" s="67" t="n">
        <f aca="false">F31+F41+F42</f>
        <v>291.846153846154</v>
      </c>
      <c r="G43" s="67" t="n">
        <f aca="false">G31+G41+G42</f>
        <v>-488.48717948718</v>
      </c>
      <c r="H43" s="67" t="n">
        <f aca="false">H31+H41+H42</f>
        <v>291.846153846154</v>
      </c>
      <c r="I43" s="67" t="n">
        <f aca="false">I31+I41+I42</f>
        <v>291.846153846154</v>
      </c>
      <c r="J43" s="67" t="n">
        <f aca="false">J31+J41+J42</f>
        <v>291.846153846154</v>
      </c>
      <c r="K43" s="67" t="n">
        <f aca="false">K31+K41+K42</f>
        <v>-488.48717948718</v>
      </c>
      <c r="L43" s="67" t="n">
        <f aca="false">L31+L41+L42</f>
        <v>291.846153846154</v>
      </c>
      <c r="M43" s="67" t="n">
        <f aca="false">M31+M41+M42</f>
        <v>291.846153846154</v>
      </c>
      <c r="N43" s="67" t="n">
        <f aca="false">N31+N41+N42</f>
        <v>291.846153846154</v>
      </c>
      <c r="O43" s="67" t="n">
        <f aca="false">O31+O41+O42</f>
        <v>-488.48717948718</v>
      </c>
      <c r="P43" s="40"/>
    </row>
    <row r="44" customFormat="false" ht="15" hidden="false" customHeight="false" outlineLevel="0" collapsed="false">
      <c r="A44" s="7" t="s">
        <v>855</v>
      </c>
      <c r="B44" s="8"/>
      <c r="C44" s="8"/>
      <c r="D44" s="8"/>
      <c r="E44" s="8"/>
      <c r="F44" s="8"/>
      <c r="G44" s="8"/>
      <c r="H44" s="8"/>
      <c r="I44" s="8"/>
      <c r="J44" s="8"/>
      <c r="K44" s="8"/>
      <c r="L44" s="8"/>
      <c r="M44" s="8"/>
      <c r="N44" s="8"/>
      <c r="O44" s="8"/>
      <c r="P44" s="8"/>
    </row>
    <row r="45" customFormat="false" ht="15" hidden="false" customHeight="false" outlineLevel="0" collapsed="false">
      <c r="A45" s="9" t="s">
        <v>856</v>
      </c>
      <c r="B45" s="66" t="n">
        <f aca="false">SUM(C45:O45)</f>
        <v>645.5</v>
      </c>
      <c r="C45" s="66" t="n">
        <f aca="false">LIQUIDITY_DRIVERS!$H$69/52*ASSUMPTIONS!$E$41</f>
        <v>49.6538461538462</v>
      </c>
      <c r="D45" s="66" t="n">
        <f aca="false">LIQUIDITY_DRIVERS!$H$69/52*ASSUMPTIONS!$E$41</f>
        <v>49.6538461538462</v>
      </c>
      <c r="E45" s="66" t="n">
        <f aca="false">LIQUIDITY_DRIVERS!$H$69/52*ASSUMPTIONS!$E$41</f>
        <v>49.6538461538462</v>
      </c>
      <c r="F45" s="66" t="n">
        <f aca="false">LIQUIDITY_DRIVERS!$H$69/52*ASSUMPTIONS!$E$41</f>
        <v>49.6538461538462</v>
      </c>
      <c r="G45" s="66" t="n">
        <f aca="false">LIQUIDITY_DRIVERS!$H$69/52*ASSUMPTIONS!$E$41</f>
        <v>49.6538461538462</v>
      </c>
      <c r="H45" s="66" t="n">
        <f aca="false">LIQUIDITY_DRIVERS!$H$69/52*ASSUMPTIONS!$E$41</f>
        <v>49.6538461538462</v>
      </c>
      <c r="I45" s="66" t="n">
        <f aca="false">LIQUIDITY_DRIVERS!$H$69/52*ASSUMPTIONS!$E$41</f>
        <v>49.6538461538462</v>
      </c>
      <c r="J45" s="66" t="n">
        <f aca="false">LIQUIDITY_DRIVERS!$H$69/52*ASSUMPTIONS!$E$41</f>
        <v>49.6538461538462</v>
      </c>
      <c r="K45" s="66" t="n">
        <f aca="false">LIQUIDITY_DRIVERS!$H$69/52*ASSUMPTIONS!$E$41</f>
        <v>49.6538461538462</v>
      </c>
      <c r="L45" s="66" t="n">
        <f aca="false">LIQUIDITY_DRIVERS!$H$69/52*ASSUMPTIONS!$E$41</f>
        <v>49.6538461538462</v>
      </c>
      <c r="M45" s="66" t="n">
        <f aca="false">LIQUIDITY_DRIVERS!$H$69/52*ASSUMPTIONS!$E$41</f>
        <v>49.6538461538462</v>
      </c>
      <c r="N45" s="66" t="n">
        <f aca="false">LIQUIDITY_DRIVERS!$H$69/52*ASSUMPTIONS!$E$41</f>
        <v>49.6538461538462</v>
      </c>
      <c r="O45" s="66" t="n">
        <f aca="false">LIQUIDITY_DRIVERS!$H$69/52*ASSUMPTIONS!$E$41</f>
        <v>49.6538461538462</v>
      </c>
      <c r="P45" s="40" t="s">
        <v>840</v>
      </c>
    </row>
    <row r="46" customFormat="false" ht="15" hidden="false" customHeight="false" outlineLevel="0" collapsed="false">
      <c r="A46" s="9" t="s">
        <v>857</v>
      </c>
      <c r="B46" s="66" t="n">
        <f aca="false">SUM(C46:O46)</f>
        <v>-645.5</v>
      </c>
      <c r="C46" s="66" t="n">
        <f aca="false">-LIQUIDITY_DRIVERS!$H$69/52</f>
        <v>-49.6538461538462</v>
      </c>
      <c r="D46" s="66" t="n">
        <f aca="false">-LIQUIDITY_DRIVERS!$H$69/52</f>
        <v>-49.6538461538462</v>
      </c>
      <c r="E46" s="66" t="n">
        <f aca="false">-LIQUIDITY_DRIVERS!$H$69/52</f>
        <v>-49.6538461538462</v>
      </c>
      <c r="F46" s="66" t="n">
        <f aca="false">-LIQUIDITY_DRIVERS!$H$69/52</f>
        <v>-49.6538461538462</v>
      </c>
      <c r="G46" s="66" t="n">
        <f aca="false">-LIQUIDITY_DRIVERS!$H$69/52</f>
        <v>-49.6538461538462</v>
      </c>
      <c r="H46" s="66" t="n">
        <f aca="false">-LIQUIDITY_DRIVERS!$H$69/52</f>
        <v>-49.6538461538462</v>
      </c>
      <c r="I46" s="66" t="n">
        <f aca="false">-LIQUIDITY_DRIVERS!$H$69/52</f>
        <v>-49.6538461538462</v>
      </c>
      <c r="J46" s="66" t="n">
        <f aca="false">-LIQUIDITY_DRIVERS!$H$69/52</f>
        <v>-49.6538461538462</v>
      </c>
      <c r="K46" s="66" t="n">
        <f aca="false">-LIQUIDITY_DRIVERS!$H$69/52</f>
        <v>-49.6538461538462</v>
      </c>
      <c r="L46" s="66" t="n">
        <f aca="false">-LIQUIDITY_DRIVERS!$H$69/52</f>
        <v>-49.6538461538462</v>
      </c>
      <c r="M46" s="66" t="n">
        <f aca="false">-LIQUIDITY_DRIVERS!$H$69/52</f>
        <v>-49.6538461538462</v>
      </c>
      <c r="N46" s="66" t="n">
        <f aca="false">-LIQUIDITY_DRIVERS!$H$69/52</f>
        <v>-49.6538461538462</v>
      </c>
      <c r="O46" s="66" t="n">
        <f aca="false">-LIQUIDITY_DRIVERS!$H$69/52</f>
        <v>-49.6538461538462</v>
      </c>
      <c r="P46" s="40" t="s">
        <v>840</v>
      </c>
    </row>
    <row r="47" customFormat="false" ht="15" hidden="false" customHeight="false" outlineLevel="0" collapsed="false">
      <c r="A47" s="9" t="s">
        <v>372</v>
      </c>
      <c r="B47" s="66" t="n">
        <f aca="false">SUM(C47:O47)</f>
        <v>0</v>
      </c>
      <c r="C47" s="66" t="n">
        <f aca="false">-LIQUIDITY_DRIVERS!$H$73*AND(ASSUMPTIONS!$E$38&gt;=13W_FORECAST!C$9,ASSUMPTIONS!$E$38&lt;=13W_FORECAST!C$10)</f>
        <v>-0</v>
      </c>
      <c r="D47" s="66" t="n">
        <f aca="false">-LIQUIDITY_DRIVERS!$H$73*AND(ASSUMPTIONS!$E$38&gt;=13W_FORECAST!D$9,ASSUMPTIONS!$E$38&lt;=13W_FORECAST!D$10)</f>
        <v>-0</v>
      </c>
      <c r="E47" s="66" t="n">
        <f aca="false">-LIQUIDITY_DRIVERS!$H$73*AND(ASSUMPTIONS!$E$38&gt;=13W_FORECAST!E$9,ASSUMPTIONS!$E$38&lt;=13W_FORECAST!E$10)</f>
        <v>-0</v>
      </c>
      <c r="F47" s="66" t="n">
        <f aca="false">-LIQUIDITY_DRIVERS!$H$73*AND(ASSUMPTIONS!$E$38&gt;=13W_FORECAST!F$9,ASSUMPTIONS!$E$38&lt;=13W_FORECAST!F$10)</f>
        <v>-0</v>
      </c>
      <c r="G47" s="66" t="n">
        <f aca="false">-LIQUIDITY_DRIVERS!$H$73*AND(ASSUMPTIONS!$E$38&gt;=13W_FORECAST!G$9,ASSUMPTIONS!$E$38&lt;=13W_FORECAST!G$10)</f>
        <v>-0</v>
      </c>
      <c r="H47" s="66" t="n">
        <f aca="false">-LIQUIDITY_DRIVERS!$H$73*AND(ASSUMPTIONS!$E$38&gt;=13W_FORECAST!H$9,ASSUMPTIONS!$E$38&lt;=13W_FORECAST!H$10)</f>
        <v>-0</v>
      </c>
      <c r="I47" s="66" t="n">
        <f aca="false">-LIQUIDITY_DRIVERS!$H$73*AND(ASSUMPTIONS!$E$38&gt;=13W_FORECAST!I$9,ASSUMPTIONS!$E$38&lt;=13W_FORECAST!I$10)</f>
        <v>-0</v>
      </c>
      <c r="J47" s="66" t="n">
        <f aca="false">-LIQUIDITY_DRIVERS!$H$73*AND(ASSUMPTIONS!$E$38&gt;=13W_FORECAST!J$9,ASSUMPTIONS!$E$38&lt;=13W_FORECAST!J$10)</f>
        <v>-0</v>
      </c>
      <c r="K47" s="66" t="n">
        <f aca="false">-LIQUIDITY_DRIVERS!$H$73*AND(ASSUMPTIONS!$E$38&gt;=13W_FORECAST!K$9,ASSUMPTIONS!$E$38&lt;=13W_FORECAST!K$10)</f>
        <v>-0</v>
      </c>
      <c r="L47" s="66" t="n">
        <f aca="false">-LIQUIDITY_DRIVERS!$H$73*AND(ASSUMPTIONS!$E$38&gt;=13W_FORECAST!L$9,ASSUMPTIONS!$E$38&lt;=13W_FORECAST!L$10)</f>
        <v>-0</v>
      </c>
      <c r="M47" s="66" t="n">
        <f aca="false">-LIQUIDITY_DRIVERS!$H$73*AND(ASSUMPTIONS!$E$38&gt;=13W_FORECAST!M$9,ASSUMPTIONS!$E$38&lt;=13W_FORECAST!M$10)</f>
        <v>-0</v>
      </c>
      <c r="N47" s="66" t="n">
        <f aca="false">-LIQUIDITY_DRIVERS!$H$73*AND(ASSUMPTIONS!$E$38&gt;=13W_FORECAST!N$9,ASSUMPTIONS!$E$38&lt;=13W_FORECAST!N$10)</f>
        <v>-0</v>
      </c>
      <c r="O47" s="66" t="n">
        <f aca="false">-LIQUIDITY_DRIVERS!$H$73*AND(ASSUMPTIONS!$E$38&gt;=13W_FORECAST!O$9,ASSUMPTIONS!$E$38&lt;=13W_FORECAST!O$10)</f>
        <v>-0</v>
      </c>
      <c r="P47" s="40" t="s">
        <v>840</v>
      </c>
    </row>
    <row r="48" customFormat="false" ht="15" hidden="false" customHeight="false" outlineLevel="0" collapsed="false">
      <c r="A48" s="9" t="s">
        <v>492</v>
      </c>
      <c r="B48" s="66" t="n">
        <f aca="false">SUM(C48:O48)</f>
        <v>-377.5</v>
      </c>
      <c r="C48" s="66" t="n">
        <f aca="false">-IF(ASSUMPTIONS!$E$40="Month-end",(LIQUIDITY_DRIVERS!$H$74)/12*13W_FORECAST!C$11,(LIQUIDITY_DRIVERS!$H$74)/52)</f>
        <v>-29.0384615384615</v>
      </c>
      <c r="D48" s="66" t="n">
        <f aca="false">-IF(ASSUMPTIONS!$E$40="Month-end",(LIQUIDITY_DRIVERS!$H$74)/12*13W_FORECAST!D$11,(LIQUIDITY_DRIVERS!$H$74)/52)</f>
        <v>-29.0384615384615</v>
      </c>
      <c r="E48" s="66" t="n">
        <f aca="false">-IF(ASSUMPTIONS!$E$40="Month-end",(LIQUIDITY_DRIVERS!$H$74)/12*13W_FORECAST!E$11,(LIQUIDITY_DRIVERS!$H$74)/52)</f>
        <v>-29.0384615384615</v>
      </c>
      <c r="F48" s="66" t="n">
        <f aca="false">-IF(ASSUMPTIONS!$E$40="Month-end",(LIQUIDITY_DRIVERS!$H$74)/12*13W_FORECAST!F$11,(LIQUIDITY_DRIVERS!$H$74)/52)</f>
        <v>-29.0384615384615</v>
      </c>
      <c r="G48" s="66" t="n">
        <f aca="false">-IF(ASSUMPTIONS!$E$40="Month-end",(LIQUIDITY_DRIVERS!$H$74)/12*13W_FORECAST!G$11,(LIQUIDITY_DRIVERS!$H$74)/52)</f>
        <v>-29.0384615384615</v>
      </c>
      <c r="H48" s="66" t="n">
        <f aca="false">-IF(ASSUMPTIONS!$E$40="Month-end",(LIQUIDITY_DRIVERS!$H$74)/12*13W_FORECAST!H$11,(LIQUIDITY_DRIVERS!$H$74)/52)</f>
        <v>-29.0384615384615</v>
      </c>
      <c r="I48" s="66" t="n">
        <f aca="false">-IF(ASSUMPTIONS!$E$40="Month-end",(LIQUIDITY_DRIVERS!$H$74)/12*13W_FORECAST!I$11,(LIQUIDITY_DRIVERS!$H$74)/52)</f>
        <v>-29.0384615384615</v>
      </c>
      <c r="J48" s="66" t="n">
        <f aca="false">-IF(ASSUMPTIONS!$E$40="Month-end",(LIQUIDITY_DRIVERS!$H$74)/12*13W_FORECAST!J$11,(LIQUIDITY_DRIVERS!$H$74)/52)</f>
        <v>-29.0384615384615</v>
      </c>
      <c r="K48" s="66" t="n">
        <f aca="false">-IF(ASSUMPTIONS!$E$40="Month-end",(LIQUIDITY_DRIVERS!$H$74)/12*13W_FORECAST!K$11,(LIQUIDITY_DRIVERS!$H$74)/52)</f>
        <v>-29.0384615384615</v>
      </c>
      <c r="L48" s="66" t="n">
        <f aca="false">-IF(ASSUMPTIONS!$E$40="Month-end",(LIQUIDITY_DRIVERS!$H$74)/12*13W_FORECAST!L$11,(LIQUIDITY_DRIVERS!$H$74)/52)</f>
        <v>-29.0384615384615</v>
      </c>
      <c r="M48" s="66" t="n">
        <f aca="false">-IF(ASSUMPTIONS!$E$40="Month-end",(LIQUIDITY_DRIVERS!$H$74)/12*13W_FORECAST!M$11,(LIQUIDITY_DRIVERS!$H$74)/52)</f>
        <v>-29.0384615384615</v>
      </c>
      <c r="N48" s="66" t="n">
        <f aca="false">-IF(ASSUMPTIONS!$E$40="Month-end",(LIQUIDITY_DRIVERS!$H$74)/12*13W_FORECAST!N$11,(LIQUIDITY_DRIVERS!$H$74)/52)</f>
        <v>-29.0384615384615</v>
      </c>
      <c r="O48" s="66" t="n">
        <f aca="false">-IF(ASSUMPTIONS!$E$40="Month-end",(LIQUIDITY_DRIVERS!$H$74)/12*13W_FORECAST!O$11,(LIQUIDITY_DRIVERS!$H$74)/52)</f>
        <v>-29.0384615384615</v>
      </c>
      <c r="P48" s="40" t="s">
        <v>840</v>
      </c>
    </row>
    <row r="49" customFormat="false" ht="15" hidden="false" customHeight="false" outlineLevel="0" collapsed="false">
      <c r="A49" s="9" t="s">
        <v>858</v>
      </c>
      <c r="B49" s="66" t="n">
        <f aca="false">SUM(C49:O49)</f>
        <v>0</v>
      </c>
      <c r="C49" s="66" t="n">
        <f aca="false">ASSUMPTIONS!$E$42/13</f>
        <v>0</v>
      </c>
      <c r="D49" s="66" t="n">
        <f aca="false">ASSUMPTIONS!$E$42/13</f>
        <v>0</v>
      </c>
      <c r="E49" s="66" t="n">
        <f aca="false">ASSUMPTIONS!$E$42/13</f>
        <v>0</v>
      </c>
      <c r="F49" s="66" t="n">
        <f aca="false">ASSUMPTIONS!$E$42/13</f>
        <v>0</v>
      </c>
      <c r="G49" s="66" t="n">
        <f aca="false">ASSUMPTIONS!$E$42/13</f>
        <v>0</v>
      </c>
      <c r="H49" s="66" t="n">
        <f aca="false">ASSUMPTIONS!$E$42/13</f>
        <v>0</v>
      </c>
      <c r="I49" s="66" t="n">
        <f aca="false">ASSUMPTIONS!$E$42/13</f>
        <v>0</v>
      </c>
      <c r="J49" s="66" t="n">
        <f aca="false">ASSUMPTIONS!$E$42/13</f>
        <v>0</v>
      </c>
      <c r="K49" s="66" t="n">
        <f aca="false">ASSUMPTIONS!$E$42/13</f>
        <v>0</v>
      </c>
      <c r="L49" s="66" t="n">
        <f aca="false">ASSUMPTIONS!$E$42/13</f>
        <v>0</v>
      </c>
      <c r="M49" s="66" t="n">
        <f aca="false">ASSUMPTIONS!$E$42/13</f>
        <v>0</v>
      </c>
      <c r="N49" s="66" t="n">
        <f aca="false">ASSUMPTIONS!$E$42/13</f>
        <v>0</v>
      </c>
      <c r="O49" s="66" t="n">
        <f aca="false">ASSUMPTIONS!$E$42/13</f>
        <v>0</v>
      </c>
      <c r="P49" s="40" t="s">
        <v>840</v>
      </c>
    </row>
    <row r="50" customFormat="false" ht="15" hidden="false" customHeight="false" outlineLevel="0" collapsed="false">
      <c r="A50" s="14" t="s">
        <v>859</v>
      </c>
      <c r="B50" s="67" t="n">
        <f aca="false">SUM(C50:O50)</f>
        <v>-377.5</v>
      </c>
      <c r="C50" s="67" t="n">
        <f aca="false">SUM(C45:C49)</f>
        <v>-29.0384615384615</v>
      </c>
      <c r="D50" s="67" t="n">
        <f aca="false">SUM(D45:D49)</f>
        <v>-29.0384615384615</v>
      </c>
      <c r="E50" s="67" t="n">
        <f aca="false">SUM(E45:E49)</f>
        <v>-29.0384615384615</v>
      </c>
      <c r="F50" s="67" t="n">
        <f aca="false">SUM(F45:F49)</f>
        <v>-29.0384615384615</v>
      </c>
      <c r="G50" s="67" t="n">
        <f aca="false">SUM(G45:G49)</f>
        <v>-29.0384615384615</v>
      </c>
      <c r="H50" s="67" t="n">
        <f aca="false">SUM(H45:H49)</f>
        <v>-29.0384615384615</v>
      </c>
      <c r="I50" s="67" t="n">
        <f aca="false">SUM(I45:I49)</f>
        <v>-29.0384615384615</v>
      </c>
      <c r="J50" s="67" t="n">
        <f aca="false">SUM(J45:J49)</f>
        <v>-29.0384615384615</v>
      </c>
      <c r="K50" s="67" t="n">
        <f aca="false">SUM(K45:K49)</f>
        <v>-29.0384615384615</v>
      </c>
      <c r="L50" s="67" t="n">
        <f aca="false">SUM(L45:L49)</f>
        <v>-29.0384615384615</v>
      </c>
      <c r="M50" s="67" t="n">
        <f aca="false">SUM(M45:M49)</f>
        <v>-29.0384615384615</v>
      </c>
      <c r="N50" s="67" t="n">
        <f aca="false">SUM(N45:N49)</f>
        <v>-29.0384615384615</v>
      </c>
      <c r="O50" s="67" t="n">
        <f aca="false">SUM(O45:O49)</f>
        <v>-29.0384615384615</v>
      </c>
      <c r="P50" s="40"/>
    </row>
    <row r="51" customFormat="false" ht="15" hidden="false" customHeight="false" outlineLevel="0" collapsed="false">
      <c r="A51" s="14" t="s">
        <v>860</v>
      </c>
      <c r="B51" s="66" t="n">
        <f aca="false">MIN(C51:O51)</f>
        <v>4203.80769230769</v>
      </c>
      <c r="C51" s="67" t="n">
        <f aca="false">C25+C43+C50</f>
        <v>4203.80769230769</v>
      </c>
      <c r="D51" s="67" t="n">
        <f aca="false">D25+D43+D50</f>
        <v>4466.61538461538</v>
      </c>
      <c r="E51" s="67" t="n">
        <f aca="false">E25+E43+E50</f>
        <v>4729.42307692308</v>
      </c>
      <c r="F51" s="67" t="n">
        <f aca="false">F25+F43+F50</f>
        <v>4992.23076923077</v>
      </c>
      <c r="G51" s="67" t="n">
        <f aca="false">G25+G43+G50</f>
        <v>4474.70512820513</v>
      </c>
      <c r="H51" s="67" t="n">
        <f aca="false">H25+H43+H50</f>
        <v>4737.51282051282</v>
      </c>
      <c r="I51" s="67" t="n">
        <f aca="false">I25+I43+I50</f>
        <v>5000.32051282051</v>
      </c>
      <c r="J51" s="67" t="n">
        <f aca="false">J25+J43+J50</f>
        <v>5263.12820512821</v>
      </c>
      <c r="K51" s="67" t="n">
        <f aca="false">K25+K43+K50</f>
        <v>4745.60256410256</v>
      </c>
      <c r="L51" s="67" t="n">
        <f aca="false">L25+L43+L50</f>
        <v>5008.41025641026</v>
      </c>
      <c r="M51" s="67" t="n">
        <f aca="false">M25+M43+M50</f>
        <v>5271.21794871795</v>
      </c>
      <c r="N51" s="67" t="n">
        <f aca="false">N25+N43+N50</f>
        <v>5534.02564102564</v>
      </c>
      <c r="O51" s="67" t="n">
        <f aca="false">O25+O43+O50</f>
        <v>5016.5</v>
      </c>
      <c r="P51" s="40" t="s">
        <v>861</v>
      </c>
    </row>
    <row r="52" customFormat="false" ht="15" hidden="false" customHeight="false" outlineLevel="0" collapsed="false">
      <c r="A52" s="9" t="s">
        <v>862</v>
      </c>
      <c r="B52" s="20"/>
      <c r="C52" s="62" t="n">
        <f aca="false">LIQUIDITY_BUFFER!$C$10</f>
        <v>3011.58076923077</v>
      </c>
      <c r="D52" s="62" t="n">
        <f aca="false">LIQUIDITY_BUFFER!$C$10</f>
        <v>3011.58076923077</v>
      </c>
      <c r="E52" s="62" t="n">
        <f aca="false">LIQUIDITY_BUFFER!$C$10</f>
        <v>3011.58076923077</v>
      </c>
      <c r="F52" s="62" t="n">
        <f aca="false">LIQUIDITY_BUFFER!$C$10</f>
        <v>3011.58076923077</v>
      </c>
      <c r="G52" s="62" t="n">
        <f aca="false">LIQUIDITY_BUFFER!$C$10</f>
        <v>3011.58076923077</v>
      </c>
      <c r="H52" s="62" t="n">
        <f aca="false">LIQUIDITY_BUFFER!$C$10</f>
        <v>3011.58076923077</v>
      </c>
      <c r="I52" s="62" t="n">
        <f aca="false">LIQUIDITY_BUFFER!$C$10</f>
        <v>3011.58076923077</v>
      </c>
      <c r="J52" s="62" t="n">
        <f aca="false">LIQUIDITY_BUFFER!$C$10</f>
        <v>3011.58076923077</v>
      </c>
      <c r="K52" s="62" t="n">
        <f aca="false">LIQUIDITY_BUFFER!$C$10</f>
        <v>3011.58076923077</v>
      </c>
      <c r="L52" s="62" t="n">
        <f aca="false">LIQUIDITY_BUFFER!$C$10</f>
        <v>3011.58076923077</v>
      </c>
      <c r="M52" s="62" t="n">
        <f aca="false">LIQUIDITY_BUFFER!$C$10</f>
        <v>3011.58076923077</v>
      </c>
      <c r="N52" s="62" t="n">
        <f aca="false">LIQUIDITY_BUFFER!$C$10</f>
        <v>3011.58076923077</v>
      </c>
      <c r="O52" s="62" t="n">
        <f aca="false">LIQUIDITY_BUFFER!$C$10</f>
        <v>3011.58076923077</v>
      </c>
      <c r="P52" s="40" t="s">
        <v>863</v>
      </c>
    </row>
    <row r="53" customFormat="false" ht="15" hidden="false" customHeight="false" outlineLevel="0" collapsed="false">
      <c r="A53" s="9" t="s">
        <v>864</v>
      </c>
      <c r="B53" s="66" t="n">
        <f aca="false">SUM(C53:O53)</f>
        <v>0</v>
      </c>
      <c r="C53" s="66" t="n">
        <f aca="false">MAX(0,C52-C51)</f>
        <v>0</v>
      </c>
      <c r="D53" s="66" t="n">
        <f aca="false">MAX(0,D52-D51)</f>
        <v>0</v>
      </c>
      <c r="E53" s="66" t="n">
        <f aca="false">MAX(0,E52-E51)</f>
        <v>0</v>
      </c>
      <c r="F53" s="66" t="n">
        <f aca="false">MAX(0,F52-F51)</f>
        <v>0</v>
      </c>
      <c r="G53" s="66" t="n">
        <f aca="false">MAX(0,G52-G51)</f>
        <v>0</v>
      </c>
      <c r="H53" s="66" t="n">
        <f aca="false">MAX(0,H52-H51)</f>
        <v>0</v>
      </c>
      <c r="I53" s="66" t="n">
        <f aca="false">MAX(0,I52-I51)</f>
        <v>0</v>
      </c>
      <c r="J53" s="66" t="n">
        <f aca="false">MAX(0,J52-J51)</f>
        <v>0</v>
      </c>
      <c r="K53" s="66" t="n">
        <f aca="false">MAX(0,K52-K51)</f>
        <v>0</v>
      </c>
      <c r="L53" s="66" t="n">
        <f aca="false">MAX(0,L52-L51)</f>
        <v>0</v>
      </c>
      <c r="M53" s="66" t="n">
        <f aca="false">MAX(0,M52-M51)</f>
        <v>0</v>
      </c>
      <c r="N53" s="66" t="n">
        <f aca="false">MAX(0,N52-N51)</f>
        <v>0</v>
      </c>
      <c r="O53" s="66" t="n">
        <f aca="false">MAX(0,O52-O51)</f>
        <v>0</v>
      </c>
      <c r="P53" s="40" t="s">
        <v>865</v>
      </c>
    </row>
    <row r="54" customFormat="false" ht="15" hidden="false" customHeight="false" outlineLevel="0" collapsed="false">
      <c r="A54" s="9" t="s">
        <v>866</v>
      </c>
      <c r="B54" s="66" t="n">
        <f aca="false">SUM(C54:O54)</f>
        <v>0</v>
      </c>
      <c r="C54" s="66" t="n">
        <f aca="false">-MIN(0,MAX(0,C51-C52))</f>
        <v>-0</v>
      </c>
      <c r="D54" s="66" t="n">
        <f aca="false">-MIN(C59,MAX(0,D51-D52))</f>
        <v>-0</v>
      </c>
      <c r="E54" s="66" t="n">
        <f aca="false">-MIN(D59,MAX(0,E51-E52))</f>
        <v>-0</v>
      </c>
      <c r="F54" s="66" t="n">
        <f aca="false">-MIN(E59,MAX(0,F51-F52))</f>
        <v>-0</v>
      </c>
      <c r="G54" s="66" t="n">
        <f aca="false">-MIN(F59,MAX(0,G51-G52))</f>
        <v>-0</v>
      </c>
      <c r="H54" s="66" t="n">
        <f aca="false">-MIN(G59,MAX(0,H51-H52))</f>
        <v>-0</v>
      </c>
      <c r="I54" s="66" t="n">
        <f aca="false">-MIN(H59,MAX(0,I51-I52))</f>
        <v>-0</v>
      </c>
      <c r="J54" s="66" t="n">
        <f aca="false">-MIN(I59,MAX(0,J51-J52))</f>
        <v>-0</v>
      </c>
      <c r="K54" s="66" t="n">
        <f aca="false">-MIN(J59,MAX(0,K51-K52))</f>
        <v>-0</v>
      </c>
      <c r="L54" s="66" t="n">
        <f aca="false">-MIN(K59,MAX(0,L51-L52))</f>
        <v>-0</v>
      </c>
      <c r="M54" s="66" t="n">
        <f aca="false">-MIN(L59,MAX(0,M51-M52))</f>
        <v>-0</v>
      </c>
      <c r="N54" s="66" t="n">
        <f aca="false">-MIN(M59,MAX(0,N51-N52))</f>
        <v>-0</v>
      </c>
      <c r="O54" s="66" t="n">
        <f aca="false">-MIN(N59,MAX(0,O51-O52))</f>
        <v>-0</v>
      </c>
      <c r="P54" s="40" t="s">
        <v>867</v>
      </c>
    </row>
    <row r="55" customFormat="false" ht="15" hidden="false" customHeight="false" outlineLevel="0" collapsed="false">
      <c r="A55" s="14" t="s">
        <v>868</v>
      </c>
      <c r="B55" s="67" t="n">
        <f aca="false">SUM(C55:O55)</f>
        <v>-377.5</v>
      </c>
      <c r="C55" s="67" t="n">
        <f aca="false">C50+C53+C54</f>
        <v>-29.0384615384615</v>
      </c>
      <c r="D55" s="67" t="n">
        <f aca="false">D50+D53+D54</f>
        <v>-29.0384615384615</v>
      </c>
      <c r="E55" s="67" t="n">
        <f aca="false">E50+E53+E54</f>
        <v>-29.0384615384615</v>
      </c>
      <c r="F55" s="67" t="n">
        <f aca="false">F50+F53+F54</f>
        <v>-29.0384615384615</v>
      </c>
      <c r="G55" s="67" t="n">
        <f aca="false">G50+G53+G54</f>
        <v>-29.0384615384615</v>
      </c>
      <c r="H55" s="67" t="n">
        <f aca="false">H50+H53+H54</f>
        <v>-29.0384615384615</v>
      </c>
      <c r="I55" s="67" t="n">
        <f aca="false">I50+I53+I54</f>
        <v>-29.0384615384615</v>
      </c>
      <c r="J55" s="67" t="n">
        <f aca="false">J50+J53+J54</f>
        <v>-29.0384615384615</v>
      </c>
      <c r="K55" s="67" t="n">
        <f aca="false">K50+K53+K54</f>
        <v>-29.0384615384615</v>
      </c>
      <c r="L55" s="67" t="n">
        <f aca="false">L50+L53+L54</f>
        <v>-29.0384615384615</v>
      </c>
      <c r="M55" s="67" t="n">
        <f aca="false">M50+M53+M54</f>
        <v>-29.0384615384615</v>
      </c>
      <c r="N55" s="67" t="n">
        <f aca="false">N50+N53+N54</f>
        <v>-29.0384615384615</v>
      </c>
      <c r="O55" s="67" t="n">
        <f aca="false">O50+O53+O54</f>
        <v>-29.0384615384615</v>
      </c>
      <c r="P55" s="40"/>
    </row>
    <row r="56" customFormat="false" ht="15" hidden="false" customHeight="false" outlineLevel="0" collapsed="false">
      <c r="A56" s="14" t="s">
        <v>869</v>
      </c>
      <c r="B56" s="67" t="n">
        <f aca="false">SUM(C56:O56)</f>
        <v>1075.5</v>
      </c>
      <c r="C56" s="67" t="n">
        <f aca="false">C43+C55</f>
        <v>262.807692307692</v>
      </c>
      <c r="D56" s="67" t="n">
        <f aca="false">D43+D55</f>
        <v>262.807692307692</v>
      </c>
      <c r="E56" s="67" t="n">
        <f aca="false">E43+E55</f>
        <v>262.807692307692</v>
      </c>
      <c r="F56" s="67" t="n">
        <f aca="false">F43+F55</f>
        <v>262.807692307692</v>
      </c>
      <c r="G56" s="67" t="n">
        <f aca="false">G43+G55</f>
        <v>-517.525641025641</v>
      </c>
      <c r="H56" s="67" t="n">
        <f aca="false">H43+H55</f>
        <v>262.807692307692</v>
      </c>
      <c r="I56" s="67" t="n">
        <f aca="false">I43+I55</f>
        <v>262.807692307692</v>
      </c>
      <c r="J56" s="67" t="n">
        <f aca="false">J43+J55</f>
        <v>262.807692307692</v>
      </c>
      <c r="K56" s="67" t="n">
        <f aca="false">K43+K55</f>
        <v>-517.525641025641</v>
      </c>
      <c r="L56" s="67" t="n">
        <f aca="false">L43+L55</f>
        <v>262.807692307692</v>
      </c>
      <c r="M56" s="67" t="n">
        <f aca="false">M43+M55</f>
        <v>262.807692307692</v>
      </c>
      <c r="N56" s="67" t="n">
        <f aca="false">N43+N55</f>
        <v>262.807692307692</v>
      </c>
      <c r="O56" s="67" t="n">
        <f aca="false">O43+O55</f>
        <v>-517.525641025641</v>
      </c>
      <c r="P56" s="40"/>
    </row>
    <row r="57" customFormat="false" ht="15" hidden="false" customHeight="false" outlineLevel="0" collapsed="false">
      <c r="A57" s="14" t="s">
        <v>870</v>
      </c>
      <c r="B57" s="66" t="n">
        <f aca="false">MIN(C57:O57)</f>
        <v>4203.80769230769</v>
      </c>
      <c r="C57" s="67" t="n">
        <f aca="false">C25+C56</f>
        <v>4203.80769230769</v>
      </c>
      <c r="D57" s="67" t="n">
        <f aca="false">D25+D56</f>
        <v>4466.61538461539</v>
      </c>
      <c r="E57" s="67" t="n">
        <f aca="false">E25+E56</f>
        <v>4729.42307692308</v>
      </c>
      <c r="F57" s="67" t="n">
        <f aca="false">F25+F56</f>
        <v>4992.23076923077</v>
      </c>
      <c r="G57" s="67" t="n">
        <f aca="false">G25+G56</f>
        <v>4474.70512820513</v>
      </c>
      <c r="H57" s="67" t="n">
        <f aca="false">H25+H56</f>
        <v>4737.51282051282</v>
      </c>
      <c r="I57" s="67" t="n">
        <f aca="false">I25+I56</f>
        <v>5000.32051282051</v>
      </c>
      <c r="J57" s="67" t="n">
        <f aca="false">J25+J56</f>
        <v>5263.12820512821</v>
      </c>
      <c r="K57" s="67" t="n">
        <f aca="false">K25+K56</f>
        <v>4745.60256410256</v>
      </c>
      <c r="L57" s="67" t="n">
        <f aca="false">L25+L56</f>
        <v>5008.41025641026</v>
      </c>
      <c r="M57" s="67" t="n">
        <f aca="false">M25+M56</f>
        <v>5271.21794871795</v>
      </c>
      <c r="N57" s="67" t="n">
        <f aca="false">N25+N56</f>
        <v>5534.02564102564</v>
      </c>
      <c r="O57" s="67" t="n">
        <f aca="false">O25+O56</f>
        <v>5016.5</v>
      </c>
      <c r="P57" s="40" t="s">
        <v>871</v>
      </c>
    </row>
    <row r="58" customFormat="false" ht="15" hidden="false" customHeight="false" outlineLevel="0" collapsed="false">
      <c r="A58" s="7" t="s">
        <v>872</v>
      </c>
      <c r="B58" s="8"/>
      <c r="C58" s="8"/>
      <c r="D58" s="8"/>
      <c r="E58" s="8"/>
      <c r="F58" s="8"/>
      <c r="G58" s="8"/>
      <c r="H58" s="8"/>
      <c r="I58" s="8"/>
      <c r="J58" s="8"/>
      <c r="K58" s="8"/>
      <c r="L58" s="8"/>
      <c r="M58" s="8"/>
      <c r="N58" s="8"/>
      <c r="O58" s="8"/>
      <c r="P58" s="8"/>
    </row>
    <row r="59" customFormat="false" ht="15" hidden="false" customHeight="false" outlineLevel="0" collapsed="false">
      <c r="A59" s="9" t="s">
        <v>873</v>
      </c>
      <c r="B59" s="66" t="n">
        <f aca="false">MAX(C59:O59)</f>
        <v>0</v>
      </c>
      <c r="C59" s="66" t="n">
        <f aca="false">C53+C54</f>
        <v>0</v>
      </c>
      <c r="D59" s="66" t="n">
        <f aca="false">C59+D53+D54</f>
        <v>0</v>
      </c>
      <c r="E59" s="66" t="n">
        <f aca="false">D59+E53+E54</f>
        <v>0</v>
      </c>
      <c r="F59" s="66" t="n">
        <f aca="false">E59+F53+F54</f>
        <v>0</v>
      </c>
      <c r="G59" s="66" t="n">
        <f aca="false">F59+G53+G54</f>
        <v>0</v>
      </c>
      <c r="H59" s="66" t="n">
        <f aca="false">G59+H53+H54</f>
        <v>0</v>
      </c>
      <c r="I59" s="66" t="n">
        <f aca="false">H59+I53+I54</f>
        <v>0</v>
      </c>
      <c r="J59" s="66" t="n">
        <f aca="false">I59+J53+J54</f>
        <v>0</v>
      </c>
      <c r="K59" s="66" t="n">
        <f aca="false">J59+K53+K54</f>
        <v>0</v>
      </c>
      <c r="L59" s="66" t="n">
        <f aca="false">K59+L53+L54</f>
        <v>0</v>
      </c>
      <c r="M59" s="66" t="n">
        <f aca="false">L59+M53+M54</f>
        <v>0</v>
      </c>
      <c r="N59" s="66" t="n">
        <f aca="false">M59+N53+N54</f>
        <v>0</v>
      </c>
      <c r="O59" s="66" t="n">
        <f aca="false">N59+O53+O54</f>
        <v>0</v>
      </c>
      <c r="P59" s="40" t="s">
        <v>874</v>
      </c>
    </row>
    <row r="60" customFormat="false" ht="15" hidden="false" customHeight="false" outlineLevel="0" collapsed="false">
      <c r="A60" s="9" t="s">
        <v>875</v>
      </c>
      <c r="B60" s="66" t="n">
        <f aca="false">MIN(C60:O60)</f>
        <v>4203.80769230769</v>
      </c>
      <c r="C60" s="66" t="n">
        <f aca="false">$C$16+SUM($C$43:C43)+SUM($C$50:C50)</f>
        <v>4203.80769230769</v>
      </c>
      <c r="D60" s="66" t="n">
        <f aca="false">$C$16+SUM($C$43:D43)+SUM($C$50:D50)</f>
        <v>4466.61538461539</v>
      </c>
      <c r="E60" s="66" t="n">
        <f aca="false">$C$16+SUM($C$43:E43)+SUM($C$50:E50)</f>
        <v>4729.42307692308</v>
      </c>
      <c r="F60" s="66" t="n">
        <f aca="false">$C$16+SUM($C$43:F43)+SUM($C$50:F50)</f>
        <v>4992.23076923077</v>
      </c>
      <c r="G60" s="66" t="n">
        <f aca="false">$C$16+SUM($C$43:G43)+SUM($C$50:G50)</f>
        <v>4474.70512820513</v>
      </c>
      <c r="H60" s="66" t="n">
        <f aca="false">$C$16+SUM($C$43:H43)+SUM($C$50:H50)</f>
        <v>4737.51282051282</v>
      </c>
      <c r="I60" s="66" t="n">
        <f aca="false">$C$16+SUM($C$43:I43)+SUM($C$50:I50)</f>
        <v>5000.32051282051</v>
      </c>
      <c r="J60" s="66" t="n">
        <f aca="false">$C$16+SUM($C$43:J43)+SUM($C$50:J50)</f>
        <v>5263.1282051282</v>
      </c>
      <c r="K60" s="66" t="n">
        <f aca="false">$C$16+SUM($C$43:K43)+SUM($C$50:K50)</f>
        <v>4745.60256410256</v>
      </c>
      <c r="L60" s="66" t="n">
        <f aca="false">$C$16+SUM($C$43:L43)+SUM($C$50:L50)</f>
        <v>5008.41025641026</v>
      </c>
      <c r="M60" s="66" t="n">
        <f aca="false">$C$16+SUM($C$43:M43)+SUM($C$50:M50)</f>
        <v>5271.21794871795</v>
      </c>
      <c r="N60" s="66" t="n">
        <f aca="false">$C$16+SUM($C$43:N43)+SUM($C$50:N50)</f>
        <v>5534.02564102564</v>
      </c>
      <c r="O60" s="66" t="n">
        <f aca="false">$C$16+SUM($C$43:O43)+SUM($C$50:O50)</f>
        <v>5016.5</v>
      </c>
      <c r="P60" s="40" t="s">
        <v>876</v>
      </c>
    </row>
  </sheetData>
  <dataValidations count="1">
    <dataValidation allowBlank="false" error="Choose Base, Downside or Severe" errorStyle="stop" errorTitle="Scenario" operator="between" showDropDown="false" showErrorMessage="false" showInputMessage="false" sqref="C4" type="list">
      <formula1>"Base,Downside,Severe"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2"/>
    <col collapsed="false" customWidth="true" hidden="false" outlineLevel="0" max="15" min="3" style="0" width="10.51"/>
    <col collapsed="false" customWidth="true" hidden="false" outlineLevel="0" max="16" min="16" style="0" width="50"/>
  </cols>
  <sheetData>
    <row r="1" customFormat="false" ht="16.15" hidden="false" customHeight="false" outlineLevel="0" collapsed="false">
      <c r="A1" s="1" t="s">
        <v>877</v>
      </c>
    </row>
    <row r="2" customFormat="false" ht="15" hidden="false" customHeight="false" outlineLevel="0" collapsed="false">
      <c r="A2" s="5" t="s">
        <v>878</v>
      </c>
    </row>
    <row r="4" customFormat="false" ht="15" hidden="false" customHeight="false" outlineLevel="0" collapsed="false">
      <c r="A4" s="15" t="s">
        <v>522</v>
      </c>
      <c r="B4" s="16" t="s">
        <v>583</v>
      </c>
      <c r="C4" s="16" t="s">
        <v>579</v>
      </c>
      <c r="D4" s="16" t="s">
        <v>580</v>
      </c>
      <c r="E4" s="16" t="s">
        <v>581</v>
      </c>
      <c r="F4" s="16" t="s">
        <v>582</v>
      </c>
      <c r="G4" s="16" t="s">
        <v>879</v>
      </c>
    </row>
    <row r="5" customFormat="false" ht="15" hidden="false" customHeight="false" outlineLevel="0" collapsed="false">
      <c r="A5" s="32" t="s">
        <v>880</v>
      </c>
      <c r="B5" s="32" t="s">
        <v>608</v>
      </c>
      <c r="C5" s="80" t="n">
        <f aca="false">ASSUMPTIONS!B15</f>
        <v>0</v>
      </c>
      <c r="D5" s="80" t="n">
        <f aca="false">ASSUMPTIONS!C15</f>
        <v>0</v>
      </c>
      <c r="E5" s="80" t="n">
        <f aca="false">ASSUMPTIONS!D15</f>
        <v>-0.05</v>
      </c>
      <c r="F5" s="81" t="n">
        <f aca="false">ASSUMPTIONS!E15</f>
        <v>0</v>
      </c>
      <c r="G5" s="5" t="s">
        <v>881</v>
      </c>
    </row>
    <row r="6" customFormat="false" ht="15" hidden="false" customHeight="false" outlineLevel="0" collapsed="false">
      <c r="A6" s="32" t="s">
        <v>882</v>
      </c>
      <c r="B6" s="32" t="s">
        <v>608</v>
      </c>
      <c r="C6" s="80" t="n">
        <f aca="false">ASSUMPTIONS!B14</f>
        <v>0</v>
      </c>
      <c r="D6" s="80" t="n">
        <f aca="false">ASSUMPTIONS!C14</f>
        <v>0</v>
      </c>
      <c r="E6" s="80" t="n">
        <f aca="false">ASSUMPTIONS!D14</f>
        <v>0</v>
      </c>
      <c r="F6" s="81" t="n">
        <f aca="false">ASSUMPTIONS!E14</f>
        <v>0</v>
      </c>
      <c r="G6" s="5"/>
    </row>
    <row r="7" customFormat="false" ht="15" hidden="false" customHeight="false" outlineLevel="0" collapsed="false">
      <c r="A7" s="32" t="s">
        <v>883</v>
      </c>
      <c r="B7" s="32" t="s">
        <v>592</v>
      </c>
      <c r="C7" s="82" t="n">
        <f aca="false">ASSUMPTIONS!B16</f>
        <v>0</v>
      </c>
      <c r="D7" s="82" t="n">
        <f aca="false">ASSUMPTIONS!C16</f>
        <v>7</v>
      </c>
      <c r="E7" s="82" t="n">
        <f aca="false">ASSUMPTIONS!D16</f>
        <v>15</v>
      </c>
      <c r="F7" s="83" t="n">
        <f aca="false">ASSUMPTIONS!E16</f>
        <v>0</v>
      </c>
      <c r="G7" s="5" t="s">
        <v>884</v>
      </c>
    </row>
    <row r="8" customFormat="false" ht="15" hidden="false" customHeight="false" outlineLevel="0" collapsed="false">
      <c r="A8" s="32" t="s">
        <v>885</v>
      </c>
      <c r="B8" s="32" t="s">
        <v>592</v>
      </c>
      <c r="C8" s="82" t="n">
        <f aca="false">ASSUMPTIONS!B19</f>
        <v>0</v>
      </c>
      <c r="D8" s="82" t="n">
        <f aca="false">ASSUMPTIONS!C19</f>
        <v>0</v>
      </c>
      <c r="E8" s="82" t="n">
        <f aca="false">ASSUMPTIONS!D19</f>
        <v>5</v>
      </c>
      <c r="F8" s="83" t="n">
        <f aca="false">ASSUMPTIONS!E19</f>
        <v>0</v>
      </c>
      <c r="G8" s="5" t="s">
        <v>886</v>
      </c>
    </row>
    <row r="9" customFormat="false" ht="15" hidden="false" customHeight="false" outlineLevel="0" collapsed="false">
      <c r="A9" s="32" t="s">
        <v>887</v>
      </c>
      <c r="B9" s="32" t="s">
        <v>592</v>
      </c>
      <c r="C9" s="82" t="n">
        <f aca="false">ASSUMPTIONS!B18</f>
        <v>0</v>
      </c>
      <c r="D9" s="82" t="n">
        <f aca="false">ASSUMPTIONS!C18</f>
        <v>0</v>
      </c>
      <c r="E9" s="82" t="n">
        <f aca="false">ASSUMPTIONS!D18</f>
        <v>5</v>
      </c>
      <c r="F9" s="83" t="n">
        <f aca="false">ASSUMPTIONS!E18</f>
        <v>0</v>
      </c>
      <c r="G9" s="5"/>
    </row>
    <row r="10" customFormat="false" ht="15" hidden="false" customHeight="false" outlineLevel="0" collapsed="false">
      <c r="A10" s="32" t="s">
        <v>764</v>
      </c>
      <c r="B10" s="32" t="s">
        <v>630</v>
      </c>
      <c r="C10" s="84" t="n">
        <f aca="false">ASSUMPTIONS!B25</f>
        <v>1</v>
      </c>
      <c r="D10" s="84" t="n">
        <f aca="false">ASSUMPTIONS!C25</f>
        <v>1</v>
      </c>
      <c r="E10" s="84" t="n">
        <f aca="false">ASSUMPTIONS!D25</f>
        <v>1</v>
      </c>
      <c r="F10" s="85" t="n">
        <f aca="false">ASSUMPTIONS!E25</f>
        <v>1</v>
      </c>
      <c r="G10" s="5" t="s">
        <v>888</v>
      </c>
    </row>
    <row r="11" customFormat="false" ht="15" hidden="false" customHeight="false" outlineLevel="0" collapsed="false">
      <c r="A11" s="32" t="s">
        <v>268</v>
      </c>
      <c r="B11" s="32" t="s">
        <v>630</v>
      </c>
      <c r="C11" s="84" t="n">
        <f aca="false">ASSUMPTIONS!B23</f>
        <v>1</v>
      </c>
      <c r="D11" s="84" t="n">
        <f aca="false">ASSUMPTIONS!C23</f>
        <v>1</v>
      </c>
      <c r="E11" s="84" t="n">
        <f aca="false">ASSUMPTIONS!D23</f>
        <v>1</v>
      </c>
      <c r="F11" s="85" t="n">
        <f aca="false">ASSUMPTIONS!E23</f>
        <v>1</v>
      </c>
      <c r="G11" s="5" t="s">
        <v>888</v>
      </c>
    </row>
    <row r="12" customFormat="false" ht="15" hidden="false" customHeight="false" outlineLevel="0" collapsed="false">
      <c r="A12" s="32" t="s">
        <v>889</v>
      </c>
      <c r="B12" s="32" t="s">
        <v>645</v>
      </c>
      <c r="C12" s="82" t="n">
        <f aca="false">ASSUMPTIONS!B31</f>
        <v>0</v>
      </c>
      <c r="D12" s="82" t="n">
        <f aca="false">ASSUMPTIONS!C31</f>
        <v>50</v>
      </c>
      <c r="E12" s="82" t="n">
        <f aca="false">ASSUMPTIONS!D31</f>
        <v>200</v>
      </c>
      <c r="F12" s="83" t="n">
        <f aca="false">ASSUMPTIONS!E31</f>
        <v>0</v>
      </c>
      <c r="G12" s="5" t="s">
        <v>890</v>
      </c>
    </row>
    <row r="13" customFormat="false" ht="15" hidden="false" customHeight="false" outlineLevel="0" collapsed="false">
      <c r="A13" s="32" t="s">
        <v>891</v>
      </c>
      <c r="B13" s="32" t="s">
        <v>608</v>
      </c>
      <c r="C13" s="80" t="n">
        <f aca="false">ASSUMPTIONS!B49</f>
        <v>0</v>
      </c>
      <c r="D13" s="80" t="n">
        <f aca="false">ASSUMPTIONS!C49</f>
        <v>-0.05</v>
      </c>
      <c r="E13" s="80" t="n">
        <f aca="false">ASSUMPTIONS!D49</f>
        <v>-0.1</v>
      </c>
      <c r="F13" s="81" t="n">
        <f aca="false">ASSUMPTIONS!E49</f>
        <v>0</v>
      </c>
      <c r="G13" s="5" t="s">
        <v>892</v>
      </c>
    </row>
    <row r="15" customFormat="false" ht="15" hidden="false" customHeight="false" outlineLevel="0" collapsed="false">
      <c r="A15" s="7" t="s">
        <v>893</v>
      </c>
      <c r="B15" s="8"/>
      <c r="C15" s="8"/>
      <c r="D15" s="8"/>
      <c r="E15" s="8"/>
      <c r="F15" s="8"/>
      <c r="G15" s="8"/>
      <c r="H15" s="8"/>
      <c r="I15" s="8"/>
      <c r="J15" s="8"/>
      <c r="K15" s="8"/>
      <c r="L15" s="8"/>
      <c r="M15" s="8"/>
      <c r="N15" s="8"/>
      <c r="O15" s="8"/>
      <c r="P15" s="8"/>
    </row>
    <row r="16" customFormat="false" ht="15" hidden="false" customHeight="false" outlineLevel="0" collapsed="false">
      <c r="A16" s="15" t="s">
        <v>258</v>
      </c>
      <c r="B16" s="16" t="s">
        <v>797</v>
      </c>
      <c r="C16" s="16" t="s">
        <v>798</v>
      </c>
      <c r="D16" s="16" t="s">
        <v>799</v>
      </c>
      <c r="E16" s="16" t="s">
        <v>800</v>
      </c>
      <c r="F16" s="16" t="s">
        <v>801</v>
      </c>
      <c r="G16" s="16" t="s">
        <v>802</v>
      </c>
      <c r="H16" s="16" t="s">
        <v>803</v>
      </c>
      <c r="I16" s="16" t="s">
        <v>804</v>
      </c>
      <c r="J16" s="16" t="s">
        <v>805</v>
      </c>
      <c r="K16" s="16" t="s">
        <v>806</v>
      </c>
      <c r="L16" s="16" t="s">
        <v>807</v>
      </c>
      <c r="M16" s="16" t="s">
        <v>808</v>
      </c>
      <c r="N16" s="16" t="s">
        <v>809</v>
      </c>
      <c r="O16" s="16" t="s">
        <v>810</v>
      </c>
      <c r="P16" s="16" t="s">
        <v>45</v>
      </c>
    </row>
    <row r="17" customFormat="false" ht="15" hidden="false" customHeight="false" outlineLevel="0" collapsed="false">
      <c r="A17" s="9" t="s">
        <v>894</v>
      </c>
      <c r="B17" s="66" t="n">
        <f aca="false">SUM(C17:O17)</f>
        <v>1075.5</v>
      </c>
      <c r="C17" s="66" t="n">
        <f aca="false">((IF(ASSUMPTIONS!$B$17="Month-end",(LIQUIDITY_DRIVERS!$E$11)/12*13W_FORECAST!C$11,(LIQUIDITY_DRIVERS!$E$11)/52))+(-LIQUIDITY_DRIVERS!$E$13*(MIN(ASSUMPTIONS!$B$16,ASSUMPTIONS!$B$7*13W_FORECAST!C$8)-MIN(ASSUMPTIONS!$B$16,ASSUMPTIONS!$B$7*(13W_FORECAST!C$8-1))))+(IF(ASSUMPTIONS!$B$28="Month-end",(LIQUIDITY_DRIVERS!$E$28)/12*13W_FORECAST!C$11,(LIQUIDITY_DRIVERS!$E$28)/52))+(ASSUMPTIONS!$B$29/13))*(1+ASSUMPTIONS!$B$49*(1-ASSUMPTIONS!$B$50))+((-IF(ASSUMPTIONS!$B$20="Month-end",(LIQUIDITY_DRIVERS!$E$24)/12*13W_FORECAST!C$11,(LIQUIDITY_DRIVERS!$E$24)/52))+(-LIQUIDITY_DRIVERS!$E$39*(MIN(ASSUMPTIONS!$B$18,ASSUMPTIONS!$B$7*13W_FORECAST!C$8)-MIN(ASSUMPTIONS!$B$18,ASSUMPTIONS!$B$7*(13W_FORECAST!C$8-1))))+(-LIQUIDITY_DRIVERS!$E$39*(MIN(ASSUMPTIONS!$B$19,ASSUMPTIONS!$B$7*13W_FORECAST!C$8)-MIN(ASSUMPTIONS!$B$19,ASSUMPTIONS!$B$7*(13W_FORECAST!C$8-1))))+(-IF(ASSUMPTIONS!$B$22="Month-end",(LIQUIDITY_DRIVERS!$E$25)/12*13W_FORECAST!C$11,(LIQUIDITY_DRIVERS!$E$25)/52))+(-IF(ASSUMPTIONS!$B$24="Month-end",(LIQUIDITY_DRIVERS!$E$58)/12*13W_FORECAST!C$11,(LIQUIDITY_DRIVERS!$E$58)/52))+(-IF(ASSUMPTIONS!$B$26="Month-end",(LIQUIDITY_DRIVERS!$E$50)/12*13W_FORECAST!C$11,(LIQUIDITY_DRIVERS!$E$50)/52))+(-IF(ASSUMPTIONS!$B$33="Month-end",(LIQUIDITY_DRIVERS!$E$67)/12*13W_FORECAST!C$11,(LIQUIDITY_DRIVERS!$E$67)/52))+(-IF(ASSUMPTIONS!$B$27="Month-end",(LIQUIDITY_DRIVERS!$E$26)/12*13W_FORECAST!C$11,(LIQUIDITY_DRIVERS!$E$26)/52)))*(1+ASSUMPTIONS!$B$49*(1-ASSUMPTIONS!$B$54))+(LIQUIDITY_DRIVERS!$E$69/52*ASSUMPTIONS!$B$41)+(-LIQUIDITY_DRIVERS!$E$69/52)+(-LIQUIDITY_DRIVERS!$E$73*AND(ASSUMPTIONS!$B$38&gt;=13W_FORECAST!C$9,ASSUMPTIONS!$B$38&lt;=13W_FORECAST!C$10))+(-IF(ASSUMPTIONS!$B$40="Month-end",(LIQUIDITY_DRIVERS!$E$74)/12*13W_FORECAST!C$11,(LIQUIDITY_DRIVERS!$E$74)/52))+(ASSUMPTIONS!$B$42/13)</f>
        <v>262.807692307692</v>
      </c>
      <c r="D17" s="66" t="n">
        <f aca="false">((IF(ASSUMPTIONS!$B$17="Month-end",(LIQUIDITY_DRIVERS!$E$11)/12*13W_FORECAST!D$11,(LIQUIDITY_DRIVERS!$E$11)/52))+(-LIQUIDITY_DRIVERS!$E$13*(MIN(ASSUMPTIONS!$B$16,ASSUMPTIONS!$B$7*13W_FORECAST!D$8)-MIN(ASSUMPTIONS!$B$16,ASSUMPTIONS!$B$7*(13W_FORECAST!D$8-1))))+(IF(ASSUMPTIONS!$B$28="Month-end",(LIQUIDITY_DRIVERS!$E$28)/12*13W_FORECAST!D$11,(LIQUIDITY_DRIVERS!$E$28)/52))+(ASSUMPTIONS!$B$29/13))*(1+ASSUMPTIONS!$B$49*(1-ASSUMPTIONS!$B$50))+((-IF(ASSUMPTIONS!$B$20="Month-end",(LIQUIDITY_DRIVERS!$E$24)/12*13W_FORECAST!D$11,(LIQUIDITY_DRIVERS!$E$24)/52))+(-LIQUIDITY_DRIVERS!$E$39*(MIN(ASSUMPTIONS!$B$18,ASSUMPTIONS!$B$7*13W_FORECAST!D$8)-MIN(ASSUMPTIONS!$B$18,ASSUMPTIONS!$B$7*(13W_FORECAST!D$8-1))))+(-LIQUIDITY_DRIVERS!$E$39*(MIN(ASSUMPTIONS!$B$19,ASSUMPTIONS!$B$7*13W_FORECAST!D$8)-MIN(ASSUMPTIONS!$B$19,ASSUMPTIONS!$B$7*(13W_FORECAST!D$8-1))))+(-IF(ASSUMPTIONS!$B$22="Month-end",(LIQUIDITY_DRIVERS!$E$25)/12*13W_FORECAST!D$11,(LIQUIDITY_DRIVERS!$E$25)/52))+(-IF(ASSUMPTIONS!$B$24="Month-end",(LIQUIDITY_DRIVERS!$E$58)/12*13W_FORECAST!D$11,(LIQUIDITY_DRIVERS!$E$58)/52))+(-IF(ASSUMPTIONS!$B$26="Month-end",(LIQUIDITY_DRIVERS!$E$50)/12*13W_FORECAST!D$11,(LIQUIDITY_DRIVERS!$E$50)/52))+(-IF(ASSUMPTIONS!$B$33="Month-end",(LIQUIDITY_DRIVERS!$E$67)/12*13W_FORECAST!D$11,(LIQUIDITY_DRIVERS!$E$67)/52))+(-IF(ASSUMPTIONS!$B$27="Month-end",(LIQUIDITY_DRIVERS!$E$26)/12*13W_FORECAST!D$11,(LIQUIDITY_DRIVERS!$E$26)/52)))*(1+ASSUMPTIONS!$B$49*(1-ASSUMPTIONS!$B$54))+(LIQUIDITY_DRIVERS!$E$69/52*ASSUMPTIONS!$B$41)+(-LIQUIDITY_DRIVERS!$E$69/52)+(-LIQUIDITY_DRIVERS!$E$73*AND(ASSUMPTIONS!$B$38&gt;=13W_FORECAST!D$9,ASSUMPTIONS!$B$38&lt;=13W_FORECAST!D$10))+(-IF(ASSUMPTIONS!$B$40="Month-end",(LIQUIDITY_DRIVERS!$E$74)/12*13W_FORECAST!D$11,(LIQUIDITY_DRIVERS!$E$74)/52))+(ASSUMPTIONS!$B$42/13)</f>
        <v>262.807692307692</v>
      </c>
      <c r="E17" s="66" t="n">
        <f aca="false">((IF(ASSUMPTIONS!$B$17="Month-end",(LIQUIDITY_DRIVERS!$E$11)/12*13W_FORECAST!E$11,(LIQUIDITY_DRIVERS!$E$11)/52))+(-LIQUIDITY_DRIVERS!$E$13*(MIN(ASSUMPTIONS!$B$16,ASSUMPTIONS!$B$7*13W_FORECAST!E$8)-MIN(ASSUMPTIONS!$B$16,ASSUMPTIONS!$B$7*(13W_FORECAST!E$8-1))))+(IF(ASSUMPTIONS!$B$28="Month-end",(LIQUIDITY_DRIVERS!$E$28)/12*13W_FORECAST!E$11,(LIQUIDITY_DRIVERS!$E$28)/52))+(ASSUMPTIONS!$B$29/13))*(1+ASSUMPTIONS!$B$49*(1-ASSUMPTIONS!$B$50))+((-IF(ASSUMPTIONS!$B$20="Month-end",(LIQUIDITY_DRIVERS!$E$24)/12*13W_FORECAST!E$11,(LIQUIDITY_DRIVERS!$E$24)/52))+(-LIQUIDITY_DRIVERS!$E$39*(MIN(ASSUMPTIONS!$B$18,ASSUMPTIONS!$B$7*13W_FORECAST!E$8)-MIN(ASSUMPTIONS!$B$18,ASSUMPTIONS!$B$7*(13W_FORECAST!E$8-1))))+(-LIQUIDITY_DRIVERS!$E$39*(MIN(ASSUMPTIONS!$B$19,ASSUMPTIONS!$B$7*13W_FORECAST!E$8)-MIN(ASSUMPTIONS!$B$19,ASSUMPTIONS!$B$7*(13W_FORECAST!E$8-1))))+(-IF(ASSUMPTIONS!$B$22="Month-end",(LIQUIDITY_DRIVERS!$E$25)/12*13W_FORECAST!E$11,(LIQUIDITY_DRIVERS!$E$25)/52))+(-IF(ASSUMPTIONS!$B$24="Month-end",(LIQUIDITY_DRIVERS!$E$58)/12*13W_FORECAST!E$11,(LIQUIDITY_DRIVERS!$E$58)/52))+(-IF(ASSUMPTIONS!$B$26="Month-end",(LIQUIDITY_DRIVERS!$E$50)/12*13W_FORECAST!E$11,(LIQUIDITY_DRIVERS!$E$50)/52))+(-IF(ASSUMPTIONS!$B$33="Month-end",(LIQUIDITY_DRIVERS!$E$67)/12*13W_FORECAST!E$11,(LIQUIDITY_DRIVERS!$E$67)/52))+(-IF(ASSUMPTIONS!$B$27="Month-end",(LIQUIDITY_DRIVERS!$E$26)/12*13W_FORECAST!E$11,(LIQUIDITY_DRIVERS!$E$26)/52)))*(1+ASSUMPTIONS!$B$49*(1-ASSUMPTIONS!$B$54))+(LIQUIDITY_DRIVERS!$E$69/52*ASSUMPTIONS!$B$41)+(-LIQUIDITY_DRIVERS!$E$69/52)+(-LIQUIDITY_DRIVERS!$E$73*AND(ASSUMPTIONS!$B$38&gt;=13W_FORECAST!E$9,ASSUMPTIONS!$B$38&lt;=13W_FORECAST!E$10))+(-IF(ASSUMPTIONS!$B$40="Month-end",(LIQUIDITY_DRIVERS!$E$74)/12*13W_FORECAST!E$11,(LIQUIDITY_DRIVERS!$E$74)/52))+(ASSUMPTIONS!$B$42/13)</f>
        <v>262.807692307692</v>
      </c>
      <c r="F17" s="66" t="n">
        <f aca="false">((IF(ASSUMPTIONS!$B$17="Month-end",(LIQUIDITY_DRIVERS!$E$11)/12*13W_FORECAST!F$11,(LIQUIDITY_DRIVERS!$E$11)/52))+(-LIQUIDITY_DRIVERS!$E$13*(MIN(ASSUMPTIONS!$B$16,ASSUMPTIONS!$B$7*13W_FORECAST!F$8)-MIN(ASSUMPTIONS!$B$16,ASSUMPTIONS!$B$7*(13W_FORECAST!F$8-1))))+(IF(ASSUMPTIONS!$B$28="Month-end",(LIQUIDITY_DRIVERS!$E$28)/12*13W_FORECAST!F$11,(LIQUIDITY_DRIVERS!$E$28)/52))+(ASSUMPTIONS!$B$29/13))*(1+ASSUMPTIONS!$B$49*(1-ASSUMPTIONS!$B$50))+((-IF(ASSUMPTIONS!$B$20="Month-end",(LIQUIDITY_DRIVERS!$E$24)/12*13W_FORECAST!F$11,(LIQUIDITY_DRIVERS!$E$24)/52))+(-LIQUIDITY_DRIVERS!$E$39*(MIN(ASSUMPTIONS!$B$18,ASSUMPTIONS!$B$7*13W_FORECAST!F$8)-MIN(ASSUMPTIONS!$B$18,ASSUMPTIONS!$B$7*(13W_FORECAST!F$8-1))))+(-LIQUIDITY_DRIVERS!$E$39*(MIN(ASSUMPTIONS!$B$19,ASSUMPTIONS!$B$7*13W_FORECAST!F$8)-MIN(ASSUMPTIONS!$B$19,ASSUMPTIONS!$B$7*(13W_FORECAST!F$8-1))))+(-IF(ASSUMPTIONS!$B$22="Month-end",(LIQUIDITY_DRIVERS!$E$25)/12*13W_FORECAST!F$11,(LIQUIDITY_DRIVERS!$E$25)/52))+(-IF(ASSUMPTIONS!$B$24="Month-end",(LIQUIDITY_DRIVERS!$E$58)/12*13W_FORECAST!F$11,(LIQUIDITY_DRIVERS!$E$58)/52))+(-IF(ASSUMPTIONS!$B$26="Month-end",(LIQUIDITY_DRIVERS!$E$50)/12*13W_FORECAST!F$11,(LIQUIDITY_DRIVERS!$E$50)/52))+(-IF(ASSUMPTIONS!$B$33="Month-end",(LIQUIDITY_DRIVERS!$E$67)/12*13W_FORECAST!F$11,(LIQUIDITY_DRIVERS!$E$67)/52))+(-IF(ASSUMPTIONS!$B$27="Month-end",(LIQUIDITY_DRIVERS!$E$26)/12*13W_FORECAST!F$11,(LIQUIDITY_DRIVERS!$E$26)/52)))*(1+ASSUMPTIONS!$B$49*(1-ASSUMPTIONS!$B$54))+(LIQUIDITY_DRIVERS!$E$69/52*ASSUMPTIONS!$B$41)+(-LIQUIDITY_DRIVERS!$E$69/52)+(-LIQUIDITY_DRIVERS!$E$73*AND(ASSUMPTIONS!$B$38&gt;=13W_FORECAST!F$9,ASSUMPTIONS!$B$38&lt;=13W_FORECAST!F$10))+(-IF(ASSUMPTIONS!$B$40="Month-end",(LIQUIDITY_DRIVERS!$E$74)/12*13W_FORECAST!F$11,(LIQUIDITY_DRIVERS!$E$74)/52))+(ASSUMPTIONS!$B$42/13)</f>
        <v>262.807692307692</v>
      </c>
      <c r="G17" s="66" t="n">
        <f aca="false">((IF(ASSUMPTIONS!$B$17="Month-end",(LIQUIDITY_DRIVERS!$E$11)/12*13W_FORECAST!G$11,(LIQUIDITY_DRIVERS!$E$11)/52))+(-LIQUIDITY_DRIVERS!$E$13*(MIN(ASSUMPTIONS!$B$16,ASSUMPTIONS!$B$7*13W_FORECAST!G$8)-MIN(ASSUMPTIONS!$B$16,ASSUMPTIONS!$B$7*(13W_FORECAST!G$8-1))))+(IF(ASSUMPTIONS!$B$28="Month-end",(LIQUIDITY_DRIVERS!$E$28)/12*13W_FORECAST!G$11,(LIQUIDITY_DRIVERS!$E$28)/52))+(ASSUMPTIONS!$B$29/13))*(1+ASSUMPTIONS!$B$49*(1-ASSUMPTIONS!$B$50))+((-IF(ASSUMPTIONS!$B$20="Month-end",(LIQUIDITY_DRIVERS!$E$24)/12*13W_FORECAST!G$11,(LIQUIDITY_DRIVERS!$E$24)/52))+(-LIQUIDITY_DRIVERS!$E$39*(MIN(ASSUMPTIONS!$B$18,ASSUMPTIONS!$B$7*13W_FORECAST!G$8)-MIN(ASSUMPTIONS!$B$18,ASSUMPTIONS!$B$7*(13W_FORECAST!G$8-1))))+(-LIQUIDITY_DRIVERS!$E$39*(MIN(ASSUMPTIONS!$B$19,ASSUMPTIONS!$B$7*13W_FORECAST!G$8)-MIN(ASSUMPTIONS!$B$19,ASSUMPTIONS!$B$7*(13W_FORECAST!G$8-1))))+(-IF(ASSUMPTIONS!$B$22="Month-end",(LIQUIDITY_DRIVERS!$E$25)/12*13W_FORECAST!G$11,(LIQUIDITY_DRIVERS!$E$25)/52))+(-IF(ASSUMPTIONS!$B$24="Month-end",(LIQUIDITY_DRIVERS!$E$58)/12*13W_FORECAST!G$11,(LIQUIDITY_DRIVERS!$E$58)/52))+(-IF(ASSUMPTIONS!$B$26="Month-end",(LIQUIDITY_DRIVERS!$E$50)/12*13W_FORECAST!G$11,(LIQUIDITY_DRIVERS!$E$50)/52))+(-IF(ASSUMPTIONS!$B$33="Month-end",(LIQUIDITY_DRIVERS!$E$67)/12*13W_FORECAST!G$11,(LIQUIDITY_DRIVERS!$E$67)/52))+(-IF(ASSUMPTIONS!$B$27="Month-end",(LIQUIDITY_DRIVERS!$E$26)/12*13W_FORECAST!G$11,(LIQUIDITY_DRIVERS!$E$26)/52)))*(1+ASSUMPTIONS!$B$49*(1-ASSUMPTIONS!$B$54))+(LIQUIDITY_DRIVERS!$E$69/52*ASSUMPTIONS!$B$41)+(-LIQUIDITY_DRIVERS!$E$69/52)+(-LIQUIDITY_DRIVERS!$E$73*AND(ASSUMPTIONS!$B$38&gt;=13W_FORECAST!G$9,ASSUMPTIONS!$B$38&lt;=13W_FORECAST!G$10))+(-IF(ASSUMPTIONS!$B$40="Month-end",(LIQUIDITY_DRIVERS!$E$74)/12*13W_FORECAST!G$11,(LIQUIDITY_DRIVERS!$E$74)/52))+(ASSUMPTIONS!$B$42/13)</f>
        <v>-517.525641025641</v>
      </c>
      <c r="H17" s="66" t="n">
        <f aca="false">((IF(ASSUMPTIONS!$B$17="Month-end",(LIQUIDITY_DRIVERS!$E$11)/12*13W_FORECAST!H$11,(LIQUIDITY_DRIVERS!$E$11)/52))+(-LIQUIDITY_DRIVERS!$E$13*(MIN(ASSUMPTIONS!$B$16,ASSUMPTIONS!$B$7*13W_FORECAST!H$8)-MIN(ASSUMPTIONS!$B$16,ASSUMPTIONS!$B$7*(13W_FORECAST!H$8-1))))+(IF(ASSUMPTIONS!$B$28="Month-end",(LIQUIDITY_DRIVERS!$E$28)/12*13W_FORECAST!H$11,(LIQUIDITY_DRIVERS!$E$28)/52))+(ASSUMPTIONS!$B$29/13))*(1+ASSUMPTIONS!$B$49*(1-ASSUMPTIONS!$B$50))+((-IF(ASSUMPTIONS!$B$20="Month-end",(LIQUIDITY_DRIVERS!$E$24)/12*13W_FORECAST!H$11,(LIQUIDITY_DRIVERS!$E$24)/52))+(-LIQUIDITY_DRIVERS!$E$39*(MIN(ASSUMPTIONS!$B$18,ASSUMPTIONS!$B$7*13W_FORECAST!H$8)-MIN(ASSUMPTIONS!$B$18,ASSUMPTIONS!$B$7*(13W_FORECAST!H$8-1))))+(-LIQUIDITY_DRIVERS!$E$39*(MIN(ASSUMPTIONS!$B$19,ASSUMPTIONS!$B$7*13W_FORECAST!H$8)-MIN(ASSUMPTIONS!$B$19,ASSUMPTIONS!$B$7*(13W_FORECAST!H$8-1))))+(-IF(ASSUMPTIONS!$B$22="Month-end",(LIQUIDITY_DRIVERS!$E$25)/12*13W_FORECAST!H$11,(LIQUIDITY_DRIVERS!$E$25)/52))+(-IF(ASSUMPTIONS!$B$24="Month-end",(LIQUIDITY_DRIVERS!$E$58)/12*13W_FORECAST!H$11,(LIQUIDITY_DRIVERS!$E$58)/52))+(-IF(ASSUMPTIONS!$B$26="Month-end",(LIQUIDITY_DRIVERS!$E$50)/12*13W_FORECAST!H$11,(LIQUIDITY_DRIVERS!$E$50)/52))+(-IF(ASSUMPTIONS!$B$33="Month-end",(LIQUIDITY_DRIVERS!$E$67)/12*13W_FORECAST!H$11,(LIQUIDITY_DRIVERS!$E$67)/52))+(-IF(ASSUMPTIONS!$B$27="Month-end",(LIQUIDITY_DRIVERS!$E$26)/12*13W_FORECAST!H$11,(LIQUIDITY_DRIVERS!$E$26)/52)))*(1+ASSUMPTIONS!$B$49*(1-ASSUMPTIONS!$B$54))+(LIQUIDITY_DRIVERS!$E$69/52*ASSUMPTIONS!$B$41)+(-LIQUIDITY_DRIVERS!$E$69/52)+(-LIQUIDITY_DRIVERS!$E$73*AND(ASSUMPTIONS!$B$38&gt;=13W_FORECAST!H$9,ASSUMPTIONS!$B$38&lt;=13W_FORECAST!H$10))+(-IF(ASSUMPTIONS!$B$40="Month-end",(LIQUIDITY_DRIVERS!$E$74)/12*13W_FORECAST!H$11,(LIQUIDITY_DRIVERS!$E$74)/52))+(ASSUMPTIONS!$B$42/13)</f>
        <v>262.807692307692</v>
      </c>
      <c r="I17" s="66" t="n">
        <f aca="false">((IF(ASSUMPTIONS!$B$17="Month-end",(LIQUIDITY_DRIVERS!$E$11)/12*13W_FORECAST!I$11,(LIQUIDITY_DRIVERS!$E$11)/52))+(-LIQUIDITY_DRIVERS!$E$13*(MIN(ASSUMPTIONS!$B$16,ASSUMPTIONS!$B$7*13W_FORECAST!I$8)-MIN(ASSUMPTIONS!$B$16,ASSUMPTIONS!$B$7*(13W_FORECAST!I$8-1))))+(IF(ASSUMPTIONS!$B$28="Month-end",(LIQUIDITY_DRIVERS!$E$28)/12*13W_FORECAST!I$11,(LIQUIDITY_DRIVERS!$E$28)/52))+(ASSUMPTIONS!$B$29/13))*(1+ASSUMPTIONS!$B$49*(1-ASSUMPTIONS!$B$50))+((-IF(ASSUMPTIONS!$B$20="Month-end",(LIQUIDITY_DRIVERS!$E$24)/12*13W_FORECAST!I$11,(LIQUIDITY_DRIVERS!$E$24)/52))+(-LIQUIDITY_DRIVERS!$E$39*(MIN(ASSUMPTIONS!$B$18,ASSUMPTIONS!$B$7*13W_FORECAST!I$8)-MIN(ASSUMPTIONS!$B$18,ASSUMPTIONS!$B$7*(13W_FORECAST!I$8-1))))+(-LIQUIDITY_DRIVERS!$E$39*(MIN(ASSUMPTIONS!$B$19,ASSUMPTIONS!$B$7*13W_FORECAST!I$8)-MIN(ASSUMPTIONS!$B$19,ASSUMPTIONS!$B$7*(13W_FORECAST!I$8-1))))+(-IF(ASSUMPTIONS!$B$22="Month-end",(LIQUIDITY_DRIVERS!$E$25)/12*13W_FORECAST!I$11,(LIQUIDITY_DRIVERS!$E$25)/52))+(-IF(ASSUMPTIONS!$B$24="Month-end",(LIQUIDITY_DRIVERS!$E$58)/12*13W_FORECAST!I$11,(LIQUIDITY_DRIVERS!$E$58)/52))+(-IF(ASSUMPTIONS!$B$26="Month-end",(LIQUIDITY_DRIVERS!$E$50)/12*13W_FORECAST!I$11,(LIQUIDITY_DRIVERS!$E$50)/52))+(-IF(ASSUMPTIONS!$B$33="Month-end",(LIQUIDITY_DRIVERS!$E$67)/12*13W_FORECAST!I$11,(LIQUIDITY_DRIVERS!$E$67)/52))+(-IF(ASSUMPTIONS!$B$27="Month-end",(LIQUIDITY_DRIVERS!$E$26)/12*13W_FORECAST!I$11,(LIQUIDITY_DRIVERS!$E$26)/52)))*(1+ASSUMPTIONS!$B$49*(1-ASSUMPTIONS!$B$54))+(LIQUIDITY_DRIVERS!$E$69/52*ASSUMPTIONS!$B$41)+(-LIQUIDITY_DRIVERS!$E$69/52)+(-LIQUIDITY_DRIVERS!$E$73*AND(ASSUMPTIONS!$B$38&gt;=13W_FORECAST!I$9,ASSUMPTIONS!$B$38&lt;=13W_FORECAST!I$10))+(-IF(ASSUMPTIONS!$B$40="Month-end",(LIQUIDITY_DRIVERS!$E$74)/12*13W_FORECAST!I$11,(LIQUIDITY_DRIVERS!$E$74)/52))+(ASSUMPTIONS!$B$42/13)</f>
        <v>262.807692307692</v>
      </c>
      <c r="J17" s="66" t="n">
        <f aca="false">((IF(ASSUMPTIONS!$B$17="Month-end",(LIQUIDITY_DRIVERS!$E$11)/12*13W_FORECAST!J$11,(LIQUIDITY_DRIVERS!$E$11)/52))+(-LIQUIDITY_DRIVERS!$E$13*(MIN(ASSUMPTIONS!$B$16,ASSUMPTIONS!$B$7*13W_FORECAST!J$8)-MIN(ASSUMPTIONS!$B$16,ASSUMPTIONS!$B$7*(13W_FORECAST!J$8-1))))+(IF(ASSUMPTIONS!$B$28="Month-end",(LIQUIDITY_DRIVERS!$E$28)/12*13W_FORECAST!J$11,(LIQUIDITY_DRIVERS!$E$28)/52))+(ASSUMPTIONS!$B$29/13))*(1+ASSUMPTIONS!$B$49*(1-ASSUMPTIONS!$B$50))+((-IF(ASSUMPTIONS!$B$20="Month-end",(LIQUIDITY_DRIVERS!$E$24)/12*13W_FORECAST!J$11,(LIQUIDITY_DRIVERS!$E$24)/52))+(-LIQUIDITY_DRIVERS!$E$39*(MIN(ASSUMPTIONS!$B$18,ASSUMPTIONS!$B$7*13W_FORECAST!J$8)-MIN(ASSUMPTIONS!$B$18,ASSUMPTIONS!$B$7*(13W_FORECAST!J$8-1))))+(-LIQUIDITY_DRIVERS!$E$39*(MIN(ASSUMPTIONS!$B$19,ASSUMPTIONS!$B$7*13W_FORECAST!J$8)-MIN(ASSUMPTIONS!$B$19,ASSUMPTIONS!$B$7*(13W_FORECAST!J$8-1))))+(-IF(ASSUMPTIONS!$B$22="Month-end",(LIQUIDITY_DRIVERS!$E$25)/12*13W_FORECAST!J$11,(LIQUIDITY_DRIVERS!$E$25)/52))+(-IF(ASSUMPTIONS!$B$24="Month-end",(LIQUIDITY_DRIVERS!$E$58)/12*13W_FORECAST!J$11,(LIQUIDITY_DRIVERS!$E$58)/52))+(-IF(ASSUMPTIONS!$B$26="Month-end",(LIQUIDITY_DRIVERS!$E$50)/12*13W_FORECAST!J$11,(LIQUIDITY_DRIVERS!$E$50)/52))+(-IF(ASSUMPTIONS!$B$33="Month-end",(LIQUIDITY_DRIVERS!$E$67)/12*13W_FORECAST!J$11,(LIQUIDITY_DRIVERS!$E$67)/52))+(-IF(ASSUMPTIONS!$B$27="Month-end",(LIQUIDITY_DRIVERS!$E$26)/12*13W_FORECAST!J$11,(LIQUIDITY_DRIVERS!$E$26)/52)))*(1+ASSUMPTIONS!$B$49*(1-ASSUMPTIONS!$B$54))+(LIQUIDITY_DRIVERS!$E$69/52*ASSUMPTIONS!$B$41)+(-LIQUIDITY_DRIVERS!$E$69/52)+(-LIQUIDITY_DRIVERS!$E$73*AND(ASSUMPTIONS!$B$38&gt;=13W_FORECAST!J$9,ASSUMPTIONS!$B$38&lt;=13W_FORECAST!J$10))+(-IF(ASSUMPTIONS!$B$40="Month-end",(LIQUIDITY_DRIVERS!$E$74)/12*13W_FORECAST!J$11,(LIQUIDITY_DRIVERS!$E$74)/52))+(ASSUMPTIONS!$B$42/13)</f>
        <v>262.807692307692</v>
      </c>
      <c r="K17" s="66" t="n">
        <f aca="false">((IF(ASSUMPTIONS!$B$17="Month-end",(LIQUIDITY_DRIVERS!$E$11)/12*13W_FORECAST!K$11,(LIQUIDITY_DRIVERS!$E$11)/52))+(-LIQUIDITY_DRIVERS!$E$13*(MIN(ASSUMPTIONS!$B$16,ASSUMPTIONS!$B$7*13W_FORECAST!K$8)-MIN(ASSUMPTIONS!$B$16,ASSUMPTIONS!$B$7*(13W_FORECAST!K$8-1))))+(IF(ASSUMPTIONS!$B$28="Month-end",(LIQUIDITY_DRIVERS!$E$28)/12*13W_FORECAST!K$11,(LIQUIDITY_DRIVERS!$E$28)/52))+(ASSUMPTIONS!$B$29/13))*(1+ASSUMPTIONS!$B$49*(1-ASSUMPTIONS!$B$50))+((-IF(ASSUMPTIONS!$B$20="Month-end",(LIQUIDITY_DRIVERS!$E$24)/12*13W_FORECAST!K$11,(LIQUIDITY_DRIVERS!$E$24)/52))+(-LIQUIDITY_DRIVERS!$E$39*(MIN(ASSUMPTIONS!$B$18,ASSUMPTIONS!$B$7*13W_FORECAST!K$8)-MIN(ASSUMPTIONS!$B$18,ASSUMPTIONS!$B$7*(13W_FORECAST!K$8-1))))+(-LIQUIDITY_DRIVERS!$E$39*(MIN(ASSUMPTIONS!$B$19,ASSUMPTIONS!$B$7*13W_FORECAST!K$8)-MIN(ASSUMPTIONS!$B$19,ASSUMPTIONS!$B$7*(13W_FORECAST!K$8-1))))+(-IF(ASSUMPTIONS!$B$22="Month-end",(LIQUIDITY_DRIVERS!$E$25)/12*13W_FORECAST!K$11,(LIQUIDITY_DRIVERS!$E$25)/52))+(-IF(ASSUMPTIONS!$B$24="Month-end",(LIQUIDITY_DRIVERS!$E$58)/12*13W_FORECAST!K$11,(LIQUIDITY_DRIVERS!$E$58)/52))+(-IF(ASSUMPTIONS!$B$26="Month-end",(LIQUIDITY_DRIVERS!$E$50)/12*13W_FORECAST!K$11,(LIQUIDITY_DRIVERS!$E$50)/52))+(-IF(ASSUMPTIONS!$B$33="Month-end",(LIQUIDITY_DRIVERS!$E$67)/12*13W_FORECAST!K$11,(LIQUIDITY_DRIVERS!$E$67)/52))+(-IF(ASSUMPTIONS!$B$27="Month-end",(LIQUIDITY_DRIVERS!$E$26)/12*13W_FORECAST!K$11,(LIQUIDITY_DRIVERS!$E$26)/52)))*(1+ASSUMPTIONS!$B$49*(1-ASSUMPTIONS!$B$54))+(LIQUIDITY_DRIVERS!$E$69/52*ASSUMPTIONS!$B$41)+(-LIQUIDITY_DRIVERS!$E$69/52)+(-LIQUIDITY_DRIVERS!$E$73*AND(ASSUMPTIONS!$B$38&gt;=13W_FORECAST!K$9,ASSUMPTIONS!$B$38&lt;=13W_FORECAST!K$10))+(-IF(ASSUMPTIONS!$B$40="Month-end",(LIQUIDITY_DRIVERS!$E$74)/12*13W_FORECAST!K$11,(LIQUIDITY_DRIVERS!$E$74)/52))+(ASSUMPTIONS!$B$42/13)</f>
        <v>-517.525641025641</v>
      </c>
      <c r="L17" s="66" t="n">
        <f aca="false">((IF(ASSUMPTIONS!$B$17="Month-end",(LIQUIDITY_DRIVERS!$E$11)/12*13W_FORECAST!L$11,(LIQUIDITY_DRIVERS!$E$11)/52))+(-LIQUIDITY_DRIVERS!$E$13*(MIN(ASSUMPTIONS!$B$16,ASSUMPTIONS!$B$7*13W_FORECAST!L$8)-MIN(ASSUMPTIONS!$B$16,ASSUMPTIONS!$B$7*(13W_FORECAST!L$8-1))))+(IF(ASSUMPTIONS!$B$28="Month-end",(LIQUIDITY_DRIVERS!$E$28)/12*13W_FORECAST!L$11,(LIQUIDITY_DRIVERS!$E$28)/52))+(ASSUMPTIONS!$B$29/13))*(1+ASSUMPTIONS!$B$49*(1-ASSUMPTIONS!$B$50))+((-IF(ASSUMPTIONS!$B$20="Month-end",(LIQUIDITY_DRIVERS!$E$24)/12*13W_FORECAST!L$11,(LIQUIDITY_DRIVERS!$E$24)/52))+(-LIQUIDITY_DRIVERS!$E$39*(MIN(ASSUMPTIONS!$B$18,ASSUMPTIONS!$B$7*13W_FORECAST!L$8)-MIN(ASSUMPTIONS!$B$18,ASSUMPTIONS!$B$7*(13W_FORECAST!L$8-1))))+(-LIQUIDITY_DRIVERS!$E$39*(MIN(ASSUMPTIONS!$B$19,ASSUMPTIONS!$B$7*13W_FORECAST!L$8)-MIN(ASSUMPTIONS!$B$19,ASSUMPTIONS!$B$7*(13W_FORECAST!L$8-1))))+(-IF(ASSUMPTIONS!$B$22="Month-end",(LIQUIDITY_DRIVERS!$E$25)/12*13W_FORECAST!L$11,(LIQUIDITY_DRIVERS!$E$25)/52))+(-IF(ASSUMPTIONS!$B$24="Month-end",(LIQUIDITY_DRIVERS!$E$58)/12*13W_FORECAST!L$11,(LIQUIDITY_DRIVERS!$E$58)/52))+(-IF(ASSUMPTIONS!$B$26="Month-end",(LIQUIDITY_DRIVERS!$E$50)/12*13W_FORECAST!L$11,(LIQUIDITY_DRIVERS!$E$50)/52))+(-IF(ASSUMPTIONS!$B$33="Month-end",(LIQUIDITY_DRIVERS!$E$67)/12*13W_FORECAST!L$11,(LIQUIDITY_DRIVERS!$E$67)/52))+(-IF(ASSUMPTIONS!$B$27="Month-end",(LIQUIDITY_DRIVERS!$E$26)/12*13W_FORECAST!L$11,(LIQUIDITY_DRIVERS!$E$26)/52)))*(1+ASSUMPTIONS!$B$49*(1-ASSUMPTIONS!$B$54))+(LIQUIDITY_DRIVERS!$E$69/52*ASSUMPTIONS!$B$41)+(-LIQUIDITY_DRIVERS!$E$69/52)+(-LIQUIDITY_DRIVERS!$E$73*AND(ASSUMPTIONS!$B$38&gt;=13W_FORECAST!L$9,ASSUMPTIONS!$B$38&lt;=13W_FORECAST!L$10))+(-IF(ASSUMPTIONS!$B$40="Month-end",(LIQUIDITY_DRIVERS!$E$74)/12*13W_FORECAST!L$11,(LIQUIDITY_DRIVERS!$E$74)/52))+(ASSUMPTIONS!$B$42/13)</f>
        <v>262.807692307692</v>
      </c>
      <c r="M17" s="66" t="n">
        <f aca="false">((IF(ASSUMPTIONS!$B$17="Month-end",(LIQUIDITY_DRIVERS!$E$11)/12*13W_FORECAST!M$11,(LIQUIDITY_DRIVERS!$E$11)/52))+(-LIQUIDITY_DRIVERS!$E$13*(MIN(ASSUMPTIONS!$B$16,ASSUMPTIONS!$B$7*13W_FORECAST!M$8)-MIN(ASSUMPTIONS!$B$16,ASSUMPTIONS!$B$7*(13W_FORECAST!M$8-1))))+(IF(ASSUMPTIONS!$B$28="Month-end",(LIQUIDITY_DRIVERS!$E$28)/12*13W_FORECAST!M$11,(LIQUIDITY_DRIVERS!$E$28)/52))+(ASSUMPTIONS!$B$29/13))*(1+ASSUMPTIONS!$B$49*(1-ASSUMPTIONS!$B$50))+((-IF(ASSUMPTIONS!$B$20="Month-end",(LIQUIDITY_DRIVERS!$E$24)/12*13W_FORECAST!M$11,(LIQUIDITY_DRIVERS!$E$24)/52))+(-LIQUIDITY_DRIVERS!$E$39*(MIN(ASSUMPTIONS!$B$18,ASSUMPTIONS!$B$7*13W_FORECAST!M$8)-MIN(ASSUMPTIONS!$B$18,ASSUMPTIONS!$B$7*(13W_FORECAST!M$8-1))))+(-LIQUIDITY_DRIVERS!$E$39*(MIN(ASSUMPTIONS!$B$19,ASSUMPTIONS!$B$7*13W_FORECAST!M$8)-MIN(ASSUMPTIONS!$B$19,ASSUMPTIONS!$B$7*(13W_FORECAST!M$8-1))))+(-IF(ASSUMPTIONS!$B$22="Month-end",(LIQUIDITY_DRIVERS!$E$25)/12*13W_FORECAST!M$11,(LIQUIDITY_DRIVERS!$E$25)/52))+(-IF(ASSUMPTIONS!$B$24="Month-end",(LIQUIDITY_DRIVERS!$E$58)/12*13W_FORECAST!M$11,(LIQUIDITY_DRIVERS!$E$58)/52))+(-IF(ASSUMPTIONS!$B$26="Month-end",(LIQUIDITY_DRIVERS!$E$50)/12*13W_FORECAST!M$11,(LIQUIDITY_DRIVERS!$E$50)/52))+(-IF(ASSUMPTIONS!$B$33="Month-end",(LIQUIDITY_DRIVERS!$E$67)/12*13W_FORECAST!M$11,(LIQUIDITY_DRIVERS!$E$67)/52))+(-IF(ASSUMPTIONS!$B$27="Month-end",(LIQUIDITY_DRIVERS!$E$26)/12*13W_FORECAST!M$11,(LIQUIDITY_DRIVERS!$E$26)/52)))*(1+ASSUMPTIONS!$B$49*(1-ASSUMPTIONS!$B$54))+(LIQUIDITY_DRIVERS!$E$69/52*ASSUMPTIONS!$B$41)+(-LIQUIDITY_DRIVERS!$E$69/52)+(-LIQUIDITY_DRIVERS!$E$73*AND(ASSUMPTIONS!$B$38&gt;=13W_FORECAST!M$9,ASSUMPTIONS!$B$38&lt;=13W_FORECAST!M$10))+(-IF(ASSUMPTIONS!$B$40="Month-end",(LIQUIDITY_DRIVERS!$E$74)/12*13W_FORECAST!M$11,(LIQUIDITY_DRIVERS!$E$74)/52))+(ASSUMPTIONS!$B$42/13)</f>
        <v>262.807692307692</v>
      </c>
      <c r="N17" s="66" t="n">
        <f aca="false">((IF(ASSUMPTIONS!$B$17="Month-end",(LIQUIDITY_DRIVERS!$E$11)/12*13W_FORECAST!N$11,(LIQUIDITY_DRIVERS!$E$11)/52))+(-LIQUIDITY_DRIVERS!$E$13*(MIN(ASSUMPTIONS!$B$16,ASSUMPTIONS!$B$7*13W_FORECAST!N$8)-MIN(ASSUMPTIONS!$B$16,ASSUMPTIONS!$B$7*(13W_FORECAST!N$8-1))))+(IF(ASSUMPTIONS!$B$28="Month-end",(LIQUIDITY_DRIVERS!$E$28)/12*13W_FORECAST!N$11,(LIQUIDITY_DRIVERS!$E$28)/52))+(ASSUMPTIONS!$B$29/13))*(1+ASSUMPTIONS!$B$49*(1-ASSUMPTIONS!$B$50))+((-IF(ASSUMPTIONS!$B$20="Month-end",(LIQUIDITY_DRIVERS!$E$24)/12*13W_FORECAST!N$11,(LIQUIDITY_DRIVERS!$E$24)/52))+(-LIQUIDITY_DRIVERS!$E$39*(MIN(ASSUMPTIONS!$B$18,ASSUMPTIONS!$B$7*13W_FORECAST!N$8)-MIN(ASSUMPTIONS!$B$18,ASSUMPTIONS!$B$7*(13W_FORECAST!N$8-1))))+(-LIQUIDITY_DRIVERS!$E$39*(MIN(ASSUMPTIONS!$B$19,ASSUMPTIONS!$B$7*13W_FORECAST!N$8)-MIN(ASSUMPTIONS!$B$19,ASSUMPTIONS!$B$7*(13W_FORECAST!N$8-1))))+(-IF(ASSUMPTIONS!$B$22="Month-end",(LIQUIDITY_DRIVERS!$E$25)/12*13W_FORECAST!N$11,(LIQUIDITY_DRIVERS!$E$25)/52))+(-IF(ASSUMPTIONS!$B$24="Month-end",(LIQUIDITY_DRIVERS!$E$58)/12*13W_FORECAST!N$11,(LIQUIDITY_DRIVERS!$E$58)/52))+(-IF(ASSUMPTIONS!$B$26="Month-end",(LIQUIDITY_DRIVERS!$E$50)/12*13W_FORECAST!N$11,(LIQUIDITY_DRIVERS!$E$50)/52))+(-IF(ASSUMPTIONS!$B$33="Month-end",(LIQUIDITY_DRIVERS!$E$67)/12*13W_FORECAST!N$11,(LIQUIDITY_DRIVERS!$E$67)/52))+(-IF(ASSUMPTIONS!$B$27="Month-end",(LIQUIDITY_DRIVERS!$E$26)/12*13W_FORECAST!N$11,(LIQUIDITY_DRIVERS!$E$26)/52)))*(1+ASSUMPTIONS!$B$49*(1-ASSUMPTIONS!$B$54))+(LIQUIDITY_DRIVERS!$E$69/52*ASSUMPTIONS!$B$41)+(-LIQUIDITY_DRIVERS!$E$69/52)+(-LIQUIDITY_DRIVERS!$E$73*AND(ASSUMPTIONS!$B$38&gt;=13W_FORECAST!N$9,ASSUMPTIONS!$B$38&lt;=13W_FORECAST!N$10))+(-IF(ASSUMPTIONS!$B$40="Month-end",(LIQUIDITY_DRIVERS!$E$74)/12*13W_FORECAST!N$11,(LIQUIDITY_DRIVERS!$E$74)/52))+(ASSUMPTIONS!$B$42/13)</f>
        <v>262.807692307692</v>
      </c>
      <c r="O17" s="66" t="n">
        <f aca="false">((IF(ASSUMPTIONS!$B$17="Month-end",(LIQUIDITY_DRIVERS!$E$11)/12*13W_FORECAST!O$11,(LIQUIDITY_DRIVERS!$E$11)/52))+(-LIQUIDITY_DRIVERS!$E$13*(MIN(ASSUMPTIONS!$B$16,ASSUMPTIONS!$B$7*13W_FORECAST!O$8)-MIN(ASSUMPTIONS!$B$16,ASSUMPTIONS!$B$7*(13W_FORECAST!O$8-1))))+(IF(ASSUMPTIONS!$B$28="Month-end",(LIQUIDITY_DRIVERS!$E$28)/12*13W_FORECAST!O$11,(LIQUIDITY_DRIVERS!$E$28)/52))+(ASSUMPTIONS!$B$29/13))*(1+ASSUMPTIONS!$B$49*(1-ASSUMPTIONS!$B$50))+((-IF(ASSUMPTIONS!$B$20="Month-end",(LIQUIDITY_DRIVERS!$E$24)/12*13W_FORECAST!O$11,(LIQUIDITY_DRIVERS!$E$24)/52))+(-LIQUIDITY_DRIVERS!$E$39*(MIN(ASSUMPTIONS!$B$18,ASSUMPTIONS!$B$7*13W_FORECAST!O$8)-MIN(ASSUMPTIONS!$B$18,ASSUMPTIONS!$B$7*(13W_FORECAST!O$8-1))))+(-LIQUIDITY_DRIVERS!$E$39*(MIN(ASSUMPTIONS!$B$19,ASSUMPTIONS!$B$7*13W_FORECAST!O$8)-MIN(ASSUMPTIONS!$B$19,ASSUMPTIONS!$B$7*(13W_FORECAST!O$8-1))))+(-IF(ASSUMPTIONS!$B$22="Month-end",(LIQUIDITY_DRIVERS!$E$25)/12*13W_FORECAST!O$11,(LIQUIDITY_DRIVERS!$E$25)/52))+(-IF(ASSUMPTIONS!$B$24="Month-end",(LIQUIDITY_DRIVERS!$E$58)/12*13W_FORECAST!O$11,(LIQUIDITY_DRIVERS!$E$58)/52))+(-IF(ASSUMPTIONS!$B$26="Month-end",(LIQUIDITY_DRIVERS!$E$50)/12*13W_FORECAST!O$11,(LIQUIDITY_DRIVERS!$E$50)/52))+(-IF(ASSUMPTIONS!$B$33="Month-end",(LIQUIDITY_DRIVERS!$E$67)/12*13W_FORECAST!O$11,(LIQUIDITY_DRIVERS!$E$67)/52))+(-IF(ASSUMPTIONS!$B$27="Month-end",(LIQUIDITY_DRIVERS!$E$26)/12*13W_FORECAST!O$11,(LIQUIDITY_DRIVERS!$E$26)/52)))*(1+ASSUMPTIONS!$B$49*(1-ASSUMPTIONS!$B$54))+(LIQUIDITY_DRIVERS!$E$69/52*ASSUMPTIONS!$B$41)+(-LIQUIDITY_DRIVERS!$E$69/52)+(-LIQUIDITY_DRIVERS!$E$73*AND(ASSUMPTIONS!$B$38&gt;=13W_FORECAST!O$9,ASSUMPTIONS!$B$38&lt;=13W_FORECAST!O$10))+(-IF(ASSUMPTIONS!$B$40="Month-end",(LIQUIDITY_DRIVERS!$E$74)/12*13W_FORECAST!O$11,(LIQUIDITY_DRIVERS!$E$74)/52))+(ASSUMPTIONS!$B$42/13)</f>
        <v>-517.525641025641</v>
      </c>
      <c r="P17" s="40"/>
    </row>
    <row r="18" customFormat="false" ht="15" hidden="false" customHeight="false" outlineLevel="0" collapsed="false">
      <c r="A18" s="14" t="s">
        <v>895</v>
      </c>
      <c r="B18" s="66" t="n">
        <f aca="false">MIN(C18:O18)</f>
        <v>4203.80769230769</v>
      </c>
      <c r="C18" s="67" t="n">
        <f aca="false">13W_FORECAST!$C$16+SUM($C$17:C17)</f>
        <v>4203.80769230769</v>
      </c>
      <c r="D18" s="67" t="n">
        <f aca="false">13W_FORECAST!$C$16+SUM($C$17:D17)</f>
        <v>4466.61538461539</v>
      </c>
      <c r="E18" s="67" t="n">
        <f aca="false">13W_FORECAST!$C$16+SUM($C$17:E17)</f>
        <v>4729.42307692308</v>
      </c>
      <c r="F18" s="67" t="n">
        <f aca="false">13W_FORECAST!$C$16+SUM($C$17:F17)</f>
        <v>4992.23076923077</v>
      </c>
      <c r="G18" s="67" t="n">
        <f aca="false">13W_FORECAST!$C$16+SUM($C$17:G17)</f>
        <v>4474.70512820513</v>
      </c>
      <c r="H18" s="67" t="n">
        <f aca="false">13W_FORECAST!$C$16+SUM($C$17:H17)</f>
        <v>4737.51282051282</v>
      </c>
      <c r="I18" s="67" t="n">
        <f aca="false">13W_FORECAST!$C$16+SUM($C$17:I17)</f>
        <v>5000.32051282051</v>
      </c>
      <c r="J18" s="67" t="n">
        <f aca="false">13W_FORECAST!$C$16+SUM($C$17:J17)</f>
        <v>5263.12820512821</v>
      </c>
      <c r="K18" s="67" t="n">
        <f aca="false">13W_FORECAST!$C$16+SUM($C$17:K17)</f>
        <v>4745.60256410256</v>
      </c>
      <c r="L18" s="67" t="n">
        <f aca="false">13W_FORECAST!$C$16+SUM($C$17:L17)</f>
        <v>5008.41025641026</v>
      </c>
      <c r="M18" s="67" t="n">
        <f aca="false">13W_FORECAST!$C$16+SUM($C$17:M17)</f>
        <v>5271.21794871795</v>
      </c>
      <c r="N18" s="67" t="n">
        <f aca="false">13W_FORECAST!$C$16+SUM($C$17:N17)</f>
        <v>5534.02564102564</v>
      </c>
      <c r="O18" s="67" t="n">
        <f aca="false">13W_FORECAST!$C$16+SUM($C$17:O17)</f>
        <v>5016.5</v>
      </c>
      <c r="P18" s="40" t="s">
        <v>896</v>
      </c>
    </row>
    <row r="19" customFormat="false" ht="15" hidden="false" customHeight="false" outlineLevel="0" collapsed="false">
      <c r="A19" s="9" t="s">
        <v>897</v>
      </c>
      <c r="B19" s="66" t="n">
        <f aca="false">SUM(C19:O19)</f>
        <v>54.0440774657531</v>
      </c>
      <c r="C19" s="66" t="n">
        <f aca="false">((IF(ASSUMPTIONS!$C$17="Month-end",(LIQUIDITY_DRIVERS!$F$11)/12*13W_FORECAST!C$11,(LIQUIDITY_DRIVERS!$F$11)/52))+(-LIQUIDITY_DRIVERS!$F$13*(MIN(ASSUMPTIONS!$C$16,ASSUMPTIONS!$C$7*13W_FORECAST!C$8)-MIN(ASSUMPTIONS!$C$16,ASSUMPTIONS!$C$7*(13W_FORECAST!C$8-1))))+(IF(ASSUMPTIONS!$C$28="Month-end",(LIQUIDITY_DRIVERS!$F$28)/12*13W_FORECAST!C$11,(LIQUIDITY_DRIVERS!$F$28)/52))+(ASSUMPTIONS!$C$29/13))*(1+ASSUMPTIONS!$C$49*(1-ASSUMPTIONS!$C$50))+((-IF(ASSUMPTIONS!$C$20="Month-end",(LIQUIDITY_DRIVERS!$F$24)/12*13W_FORECAST!C$11,(LIQUIDITY_DRIVERS!$F$24)/52))+(-LIQUIDITY_DRIVERS!$F$39*(MIN(ASSUMPTIONS!$C$18,ASSUMPTIONS!$C$7*13W_FORECAST!C$8)-MIN(ASSUMPTIONS!$C$18,ASSUMPTIONS!$C$7*(13W_FORECAST!C$8-1))))+(-LIQUIDITY_DRIVERS!$F$39*(MIN(ASSUMPTIONS!$C$19,ASSUMPTIONS!$C$7*13W_FORECAST!C$8)-MIN(ASSUMPTIONS!$C$19,ASSUMPTIONS!$C$7*(13W_FORECAST!C$8-1))))+(-IF(ASSUMPTIONS!$C$22="Month-end",(LIQUIDITY_DRIVERS!$F$25)/12*13W_FORECAST!C$11,(LIQUIDITY_DRIVERS!$F$25)/52))+(-IF(ASSUMPTIONS!$C$24="Month-end",(LIQUIDITY_DRIVERS!$F$58)/12*13W_FORECAST!C$11,(LIQUIDITY_DRIVERS!$F$58)/52))+(-IF(ASSUMPTIONS!$C$26="Month-end",(LIQUIDITY_DRIVERS!$F$50)/12*13W_FORECAST!C$11,(LIQUIDITY_DRIVERS!$F$50)/52))+(-IF(ASSUMPTIONS!$C$33="Month-end",(LIQUIDITY_DRIVERS!$F$67)/12*13W_FORECAST!C$11,(LIQUIDITY_DRIVERS!$F$67)/52))+(-IF(ASSUMPTIONS!$C$27="Month-end",(LIQUIDITY_DRIVERS!$F$26)/12*13W_FORECAST!C$11,(LIQUIDITY_DRIVERS!$F$26)/52)))*(1+ASSUMPTIONS!$C$49*(1-ASSUMPTIONS!$C$54))+(LIQUIDITY_DRIVERS!$F$69/52*ASSUMPTIONS!$C$41)+(-LIQUIDITY_DRIVERS!$F$69/52)+(-LIQUIDITY_DRIVERS!$F$73*AND(ASSUMPTIONS!$C$38&gt;=13W_FORECAST!C$9,ASSUMPTIONS!$C$38&lt;=13W_FORECAST!C$10))+(-IF(ASSUMPTIONS!$C$40="Month-end",(LIQUIDITY_DRIVERS!$F$74)/12*13W_FORECAST!C$11,(LIQUIDITY_DRIVERS!$F$74)/52))+(ASSUMPTIONS!$C$42/13)</f>
        <v>-680.803639457324</v>
      </c>
      <c r="D19" s="66" t="n">
        <f aca="false">((IF(ASSUMPTIONS!$C$17="Month-end",(LIQUIDITY_DRIVERS!$F$11)/12*13W_FORECAST!D$11,(LIQUIDITY_DRIVERS!$F$11)/52))+(-LIQUIDITY_DRIVERS!$F$13*(MIN(ASSUMPTIONS!$C$16,ASSUMPTIONS!$C$7*13W_FORECAST!D$8)-MIN(ASSUMPTIONS!$C$16,ASSUMPTIONS!$C$7*(13W_FORECAST!D$8-1))))+(IF(ASSUMPTIONS!$C$28="Month-end",(LIQUIDITY_DRIVERS!$F$28)/12*13W_FORECAST!D$11,(LIQUIDITY_DRIVERS!$F$28)/52))+(ASSUMPTIONS!$C$29/13))*(1+ASSUMPTIONS!$C$49*(1-ASSUMPTIONS!$C$50))+((-IF(ASSUMPTIONS!$C$20="Month-end",(LIQUIDITY_DRIVERS!$F$24)/12*13W_FORECAST!D$11,(LIQUIDITY_DRIVERS!$F$24)/52))+(-LIQUIDITY_DRIVERS!$F$39*(MIN(ASSUMPTIONS!$C$18,ASSUMPTIONS!$C$7*13W_FORECAST!D$8)-MIN(ASSUMPTIONS!$C$18,ASSUMPTIONS!$C$7*(13W_FORECAST!D$8-1))))+(-LIQUIDITY_DRIVERS!$F$39*(MIN(ASSUMPTIONS!$C$19,ASSUMPTIONS!$C$7*13W_FORECAST!D$8)-MIN(ASSUMPTIONS!$C$19,ASSUMPTIONS!$C$7*(13W_FORECAST!D$8-1))))+(-IF(ASSUMPTIONS!$C$22="Month-end",(LIQUIDITY_DRIVERS!$F$25)/12*13W_FORECAST!D$11,(LIQUIDITY_DRIVERS!$F$25)/52))+(-IF(ASSUMPTIONS!$C$24="Month-end",(LIQUIDITY_DRIVERS!$F$58)/12*13W_FORECAST!D$11,(LIQUIDITY_DRIVERS!$F$58)/52))+(-IF(ASSUMPTIONS!$C$26="Month-end",(LIQUIDITY_DRIVERS!$F$50)/12*13W_FORECAST!D$11,(LIQUIDITY_DRIVERS!$F$50)/52))+(-IF(ASSUMPTIONS!$C$33="Month-end",(LIQUIDITY_DRIVERS!$F$67)/12*13W_FORECAST!D$11,(LIQUIDITY_DRIVERS!$F$67)/52))+(-IF(ASSUMPTIONS!$C$27="Month-end",(LIQUIDITY_DRIVERS!$F$26)/12*13W_FORECAST!D$11,(LIQUIDITY_DRIVERS!$F$26)/52)))*(1+ASSUMPTIONS!$C$49*(1-ASSUMPTIONS!$C$54))+(LIQUIDITY_DRIVERS!$F$69/52*ASSUMPTIONS!$C$41)+(-LIQUIDITY_DRIVERS!$F$69/52)+(-LIQUIDITY_DRIVERS!$F$73*AND(ASSUMPTIONS!$C$38&gt;=13W_FORECAST!D$9,ASSUMPTIONS!$C$38&lt;=13W_FORECAST!D$10))+(-IF(ASSUMPTIONS!$C$40="Month-end",(LIQUIDITY_DRIVERS!$F$74)/12*13W_FORECAST!D$11,(LIQUIDITY_DRIVERS!$F$74)/52))+(ASSUMPTIONS!$C$42/13)</f>
        <v>249.005018076923</v>
      </c>
      <c r="E19" s="66" t="n">
        <f aca="false">((IF(ASSUMPTIONS!$C$17="Month-end",(LIQUIDITY_DRIVERS!$F$11)/12*13W_FORECAST!E$11,(LIQUIDITY_DRIVERS!$F$11)/52))+(-LIQUIDITY_DRIVERS!$F$13*(MIN(ASSUMPTIONS!$C$16,ASSUMPTIONS!$C$7*13W_FORECAST!E$8)-MIN(ASSUMPTIONS!$C$16,ASSUMPTIONS!$C$7*(13W_FORECAST!E$8-1))))+(IF(ASSUMPTIONS!$C$28="Month-end",(LIQUIDITY_DRIVERS!$F$28)/12*13W_FORECAST!E$11,(LIQUIDITY_DRIVERS!$F$28)/52))+(ASSUMPTIONS!$C$29/13))*(1+ASSUMPTIONS!$C$49*(1-ASSUMPTIONS!$C$50))+((-IF(ASSUMPTIONS!$C$20="Month-end",(LIQUIDITY_DRIVERS!$F$24)/12*13W_FORECAST!E$11,(LIQUIDITY_DRIVERS!$F$24)/52))+(-LIQUIDITY_DRIVERS!$F$39*(MIN(ASSUMPTIONS!$C$18,ASSUMPTIONS!$C$7*13W_FORECAST!E$8)-MIN(ASSUMPTIONS!$C$18,ASSUMPTIONS!$C$7*(13W_FORECAST!E$8-1))))+(-LIQUIDITY_DRIVERS!$F$39*(MIN(ASSUMPTIONS!$C$19,ASSUMPTIONS!$C$7*13W_FORECAST!E$8)-MIN(ASSUMPTIONS!$C$19,ASSUMPTIONS!$C$7*(13W_FORECAST!E$8-1))))+(-IF(ASSUMPTIONS!$C$22="Month-end",(LIQUIDITY_DRIVERS!$F$25)/12*13W_FORECAST!E$11,(LIQUIDITY_DRIVERS!$F$25)/52))+(-IF(ASSUMPTIONS!$C$24="Month-end",(LIQUIDITY_DRIVERS!$F$58)/12*13W_FORECAST!E$11,(LIQUIDITY_DRIVERS!$F$58)/52))+(-IF(ASSUMPTIONS!$C$26="Month-end",(LIQUIDITY_DRIVERS!$F$50)/12*13W_FORECAST!E$11,(LIQUIDITY_DRIVERS!$F$50)/52))+(-IF(ASSUMPTIONS!$C$33="Month-end",(LIQUIDITY_DRIVERS!$F$67)/12*13W_FORECAST!E$11,(LIQUIDITY_DRIVERS!$F$67)/52))+(-IF(ASSUMPTIONS!$C$27="Month-end",(LIQUIDITY_DRIVERS!$F$26)/12*13W_FORECAST!E$11,(LIQUIDITY_DRIVERS!$F$26)/52)))*(1+ASSUMPTIONS!$C$49*(1-ASSUMPTIONS!$C$54))+(LIQUIDITY_DRIVERS!$F$69/52*ASSUMPTIONS!$C$41)+(-LIQUIDITY_DRIVERS!$F$69/52)+(-LIQUIDITY_DRIVERS!$F$73*AND(ASSUMPTIONS!$C$38&gt;=13W_FORECAST!E$9,ASSUMPTIONS!$C$38&lt;=13W_FORECAST!E$10))+(-IF(ASSUMPTIONS!$C$40="Month-end",(LIQUIDITY_DRIVERS!$F$74)/12*13W_FORECAST!E$11,(LIQUIDITY_DRIVERS!$F$74)/52))+(ASSUMPTIONS!$C$42/13)</f>
        <v>249.005018076923</v>
      </c>
      <c r="F19" s="66" t="n">
        <f aca="false">((IF(ASSUMPTIONS!$C$17="Month-end",(LIQUIDITY_DRIVERS!$F$11)/12*13W_FORECAST!F$11,(LIQUIDITY_DRIVERS!$F$11)/52))+(-LIQUIDITY_DRIVERS!$F$13*(MIN(ASSUMPTIONS!$C$16,ASSUMPTIONS!$C$7*13W_FORECAST!F$8)-MIN(ASSUMPTIONS!$C$16,ASSUMPTIONS!$C$7*(13W_FORECAST!F$8-1))))+(IF(ASSUMPTIONS!$C$28="Month-end",(LIQUIDITY_DRIVERS!$F$28)/12*13W_FORECAST!F$11,(LIQUIDITY_DRIVERS!$F$28)/52))+(ASSUMPTIONS!$C$29/13))*(1+ASSUMPTIONS!$C$49*(1-ASSUMPTIONS!$C$50))+((-IF(ASSUMPTIONS!$C$20="Month-end",(LIQUIDITY_DRIVERS!$F$24)/12*13W_FORECAST!F$11,(LIQUIDITY_DRIVERS!$F$24)/52))+(-LIQUIDITY_DRIVERS!$F$39*(MIN(ASSUMPTIONS!$C$18,ASSUMPTIONS!$C$7*13W_FORECAST!F$8)-MIN(ASSUMPTIONS!$C$18,ASSUMPTIONS!$C$7*(13W_FORECAST!F$8-1))))+(-LIQUIDITY_DRIVERS!$F$39*(MIN(ASSUMPTIONS!$C$19,ASSUMPTIONS!$C$7*13W_FORECAST!F$8)-MIN(ASSUMPTIONS!$C$19,ASSUMPTIONS!$C$7*(13W_FORECAST!F$8-1))))+(-IF(ASSUMPTIONS!$C$22="Month-end",(LIQUIDITY_DRIVERS!$F$25)/12*13W_FORECAST!F$11,(LIQUIDITY_DRIVERS!$F$25)/52))+(-IF(ASSUMPTIONS!$C$24="Month-end",(LIQUIDITY_DRIVERS!$F$58)/12*13W_FORECAST!F$11,(LIQUIDITY_DRIVERS!$F$58)/52))+(-IF(ASSUMPTIONS!$C$26="Month-end",(LIQUIDITY_DRIVERS!$F$50)/12*13W_FORECAST!F$11,(LIQUIDITY_DRIVERS!$F$50)/52))+(-IF(ASSUMPTIONS!$C$33="Month-end",(LIQUIDITY_DRIVERS!$F$67)/12*13W_FORECAST!F$11,(LIQUIDITY_DRIVERS!$F$67)/52))+(-IF(ASSUMPTIONS!$C$27="Month-end",(LIQUIDITY_DRIVERS!$F$26)/12*13W_FORECAST!F$11,(LIQUIDITY_DRIVERS!$F$26)/52)))*(1+ASSUMPTIONS!$C$49*(1-ASSUMPTIONS!$C$54))+(LIQUIDITY_DRIVERS!$F$69/52*ASSUMPTIONS!$C$41)+(-LIQUIDITY_DRIVERS!$F$69/52)+(-LIQUIDITY_DRIVERS!$F$73*AND(ASSUMPTIONS!$C$38&gt;=13W_FORECAST!F$9,ASSUMPTIONS!$C$38&lt;=13W_FORECAST!F$10))+(-IF(ASSUMPTIONS!$C$40="Month-end",(LIQUIDITY_DRIVERS!$F$74)/12*13W_FORECAST!F$11,(LIQUIDITY_DRIVERS!$F$74)/52))+(ASSUMPTIONS!$C$42/13)</f>
        <v>249.005018076923</v>
      </c>
      <c r="G19" s="66" t="n">
        <f aca="false">((IF(ASSUMPTIONS!$C$17="Month-end",(LIQUIDITY_DRIVERS!$F$11)/12*13W_FORECAST!G$11,(LIQUIDITY_DRIVERS!$F$11)/52))+(-LIQUIDITY_DRIVERS!$F$13*(MIN(ASSUMPTIONS!$C$16,ASSUMPTIONS!$C$7*13W_FORECAST!G$8)-MIN(ASSUMPTIONS!$C$16,ASSUMPTIONS!$C$7*(13W_FORECAST!G$8-1))))+(IF(ASSUMPTIONS!$C$28="Month-end",(LIQUIDITY_DRIVERS!$F$28)/12*13W_FORECAST!G$11,(LIQUIDITY_DRIVERS!$F$28)/52))+(ASSUMPTIONS!$C$29/13))*(1+ASSUMPTIONS!$C$49*(1-ASSUMPTIONS!$C$50))+((-IF(ASSUMPTIONS!$C$20="Month-end",(LIQUIDITY_DRIVERS!$F$24)/12*13W_FORECAST!G$11,(LIQUIDITY_DRIVERS!$F$24)/52))+(-LIQUIDITY_DRIVERS!$F$39*(MIN(ASSUMPTIONS!$C$18,ASSUMPTIONS!$C$7*13W_FORECAST!G$8)-MIN(ASSUMPTIONS!$C$18,ASSUMPTIONS!$C$7*(13W_FORECAST!G$8-1))))+(-LIQUIDITY_DRIVERS!$F$39*(MIN(ASSUMPTIONS!$C$19,ASSUMPTIONS!$C$7*13W_FORECAST!G$8)-MIN(ASSUMPTIONS!$C$19,ASSUMPTIONS!$C$7*(13W_FORECAST!G$8-1))))+(-IF(ASSUMPTIONS!$C$22="Month-end",(LIQUIDITY_DRIVERS!$F$25)/12*13W_FORECAST!G$11,(LIQUIDITY_DRIVERS!$F$25)/52))+(-IF(ASSUMPTIONS!$C$24="Month-end",(LIQUIDITY_DRIVERS!$F$58)/12*13W_FORECAST!G$11,(LIQUIDITY_DRIVERS!$F$58)/52))+(-IF(ASSUMPTIONS!$C$26="Month-end",(LIQUIDITY_DRIVERS!$F$50)/12*13W_FORECAST!G$11,(LIQUIDITY_DRIVERS!$F$50)/52))+(-IF(ASSUMPTIONS!$C$33="Month-end",(LIQUIDITY_DRIVERS!$F$67)/12*13W_FORECAST!G$11,(LIQUIDITY_DRIVERS!$F$67)/52))+(-IF(ASSUMPTIONS!$C$27="Month-end",(LIQUIDITY_DRIVERS!$F$26)/12*13W_FORECAST!G$11,(LIQUIDITY_DRIVERS!$F$26)/52)))*(1+ASSUMPTIONS!$C$49*(1-ASSUMPTIONS!$C$54))+(LIQUIDITY_DRIVERS!$F$69/52*ASSUMPTIONS!$C$41)+(-LIQUIDITY_DRIVERS!$F$69/52)+(-LIQUIDITY_DRIVERS!$F$73*AND(ASSUMPTIONS!$C$38&gt;=13W_FORECAST!G$9,ASSUMPTIONS!$C$38&lt;=13W_FORECAST!G$10))+(-IF(ASSUMPTIONS!$C$40="Month-end",(LIQUIDITY_DRIVERS!$F$74)/12*13W_FORECAST!G$11,(LIQUIDITY_DRIVERS!$F$74)/52))+(ASSUMPTIONS!$C$42/13)</f>
        <v>-502.06581525641</v>
      </c>
      <c r="H19" s="66" t="n">
        <f aca="false">((IF(ASSUMPTIONS!$C$17="Month-end",(LIQUIDITY_DRIVERS!$F$11)/12*13W_FORECAST!H$11,(LIQUIDITY_DRIVERS!$F$11)/52))+(-LIQUIDITY_DRIVERS!$F$13*(MIN(ASSUMPTIONS!$C$16,ASSUMPTIONS!$C$7*13W_FORECAST!H$8)-MIN(ASSUMPTIONS!$C$16,ASSUMPTIONS!$C$7*(13W_FORECAST!H$8-1))))+(IF(ASSUMPTIONS!$C$28="Month-end",(LIQUIDITY_DRIVERS!$F$28)/12*13W_FORECAST!H$11,(LIQUIDITY_DRIVERS!$F$28)/52))+(ASSUMPTIONS!$C$29/13))*(1+ASSUMPTIONS!$C$49*(1-ASSUMPTIONS!$C$50))+((-IF(ASSUMPTIONS!$C$20="Month-end",(LIQUIDITY_DRIVERS!$F$24)/12*13W_FORECAST!H$11,(LIQUIDITY_DRIVERS!$F$24)/52))+(-LIQUIDITY_DRIVERS!$F$39*(MIN(ASSUMPTIONS!$C$18,ASSUMPTIONS!$C$7*13W_FORECAST!H$8)-MIN(ASSUMPTIONS!$C$18,ASSUMPTIONS!$C$7*(13W_FORECAST!H$8-1))))+(-LIQUIDITY_DRIVERS!$F$39*(MIN(ASSUMPTIONS!$C$19,ASSUMPTIONS!$C$7*13W_FORECAST!H$8)-MIN(ASSUMPTIONS!$C$19,ASSUMPTIONS!$C$7*(13W_FORECAST!H$8-1))))+(-IF(ASSUMPTIONS!$C$22="Month-end",(LIQUIDITY_DRIVERS!$F$25)/12*13W_FORECAST!H$11,(LIQUIDITY_DRIVERS!$F$25)/52))+(-IF(ASSUMPTIONS!$C$24="Month-end",(LIQUIDITY_DRIVERS!$F$58)/12*13W_FORECAST!H$11,(LIQUIDITY_DRIVERS!$F$58)/52))+(-IF(ASSUMPTIONS!$C$26="Month-end",(LIQUIDITY_DRIVERS!$F$50)/12*13W_FORECAST!H$11,(LIQUIDITY_DRIVERS!$F$50)/52))+(-IF(ASSUMPTIONS!$C$33="Month-end",(LIQUIDITY_DRIVERS!$F$67)/12*13W_FORECAST!H$11,(LIQUIDITY_DRIVERS!$F$67)/52))+(-IF(ASSUMPTIONS!$C$27="Month-end",(LIQUIDITY_DRIVERS!$F$26)/12*13W_FORECAST!H$11,(LIQUIDITY_DRIVERS!$F$26)/52)))*(1+ASSUMPTIONS!$C$49*(1-ASSUMPTIONS!$C$54))+(LIQUIDITY_DRIVERS!$F$69/52*ASSUMPTIONS!$C$41)+(-LIQUIDITY_DRIVERS!$F$69/52)+(-LIQUIDITY_DRIVERS!$F$73*AND(ASSUMPTIONS!$C$38&gt;=13W_FORECAST!H$9,ASSUMPTIONS!$C$38&lt;=13W_FORECAST!H$10))+(-IF(ASSUMPTIONS!$C$40="Month-end",(LIQUIDITY_DRIVERS!$F$74)/12*13W_FORECAST!H$11,(LIQUIDITY_DRIVERS!$F$74)/52))+(ASSUMPTIONS!$C$42/13)</f>
        <v>249.005018076923</v>
      </c>
      <c r="I19" s="66" t="n">
        <f aca="false">((IF(ASSUMPTIONS!$C$17="Month-end",(LIQUIDITY_DRIVERS!$F$11)/12*13W_FORECAST!I$11,(LIQUIDITY_DRIVERS!$F$11)/52))+(-LIQUIDITY_DRIVERS!$F$13*(MIN(ASSUMPTIONS!$C$16,ASSUMPTIONS!$C$7*13W_FORECAST!I$8)-MIN(ASSUMPTIONS!$C$16,ASSUMPTIONS!$C$7*(13W_FORECAST!I$8-1))))+(IF(ASSUMPTIONS!$C$28="Month-end",(LIQUIDITY_DRIVERS!$F$28)/12*13W_FORECAST!I$11,(LIQUIDITY_DRIVERS!$F$28)/52))+(ASSUMPTIONS!$C$29/13))*(1+ASSUMPTIONS!$C$49*(1-ASSUMPTIONS!$C$50))+((-IF(ASSUMPTIONS!$C$20="Month-end",(LIQUIDITY_DRIVERS!$F$24)/12*13W_FORECAST!I$11,(LIQUIDITY_DRIVERS!$F$24)/52))+(-LIQUIDITY_DRIVERS!$F$39*(MIN(ASSUMPTIONS!$C$18,ASSUMPTIONS!$C$7*13W_FORECAST!I$8)-MIN(ASSUMPTIONS!$C$18,ASSUMPTIONS!$C$7*(13W_FORECAST!I$8-1))))+(-LIQUIDITY_DRIVERS!$F$39*(MIN(ASSUMPTIONS!$C$19,ASSUMPTIONS!$C$7*13W_FORECAST!I$8)-MIN(ASSUMPTIONS!$C$19,ASSUMPTIONS!$C$7*(13W_FORECAST!I$8-1))))+(-IF(ASSUMPTIONS!$C$22="Month-end",(LIQUIDITY_DRIVERS!$F$25)/12*13W_FORECAST!I$11,(LIQUIDITY_DRIVERS!$F$25)/52))+(-IF(ASSUMPTIONS!$C$24="Month-end",(LIQUIDITY_DRIVERS!$F$58)/12*13W_FORECAST!I$11,(LIQUIDITY_DRIVERS!$F$58)/52))+(-IF(ASSUMPTIONS!$C$26="Month-end",(LIQUIDITY_DRIVERS!$F$50)/12*13W_FORECAST!I$11,(LIQUIDITY_DRIVERS!$F$50)/52))+(-IF(ASSUMPTIONS!$C$33="Month-end",(LIQUIDITY_DRIVERS!$F$67)/12*13W_FORECAST!I$11,(LIQUIDITY_DRIVERS!$F$67)/52))+(-IF(ASSUMPTIONS!$C$27="Month-end",(LIQUIDITY_DRIVERS!$F$26)/12*13W_FORECAST!I$11,(LIQUIDITY_DRIVERS!$F$26)/52)))*(1+ASSUMPTIONS!$C$49*(1-ASSUMPTIONS!$C$54))+(LIQUIDITY_DRIVERS!$F$69/52*ASSUMPTIONS!$C$41)+(-LIQUIDITY_DRIVERS!$F$69/52)+(-LIQUIDITY_DRIVERS!$F$73*AND(ASSUMPTIONS!$C$38&gt;=13W_FORECAST!I$9,ASSUMPTIONS!$C$38&lt;=13W_FORECAST!I$10))+(-IF(ASSUMPTIONS!$C$40="Month-end",(LIQUIDITY_DRIVERS!$F$74)/12*13W_FORECAST!I$11,(LIQUIDITY_DRIVERS!$F$74)/52))+(ASSUMPTIONS!$C$42/13)</f>
        <v>249.005018076923</v>
      </c>
      <c r="J19" s="66" t="n">
        <f aca="false">((IF(ASSUMPTIONS!$C$17="Month-end",(LIQUIDITY_DRIVERS!$F$11)/12*13W_FORECAST!J$11,(LIQUIDITY_DRIVERS!$F$11)/52))+(-LIQUIDITY_DRIVERS!$F$13*(MIN(ASSUMPTIONS!$C$16,ASSUMPTIONS!$C$7*13W_FORECAST!J$8)-MIN(ASSUMPTIONS!$C$16,ASSUMPTIONS!$C$7*(13W_FORECAST!J$8-1))))+(IF(ASSUMPTIONS!$C$28="Month-end",(LIQUIDITY_DRIVERS!$F$28)/12*13W_FORECAST!J$11,(LIQUIDITY_DRIVERS!$F$28)/52))+(ASSUMPTIONS!$C$29/13))*(1+ASSUMPTIONS!$C$49*(1-ASSUMPTIONS!$C$50))+((-IF(ASSUMPTIONS!$C$20="Month-end",(LIQUIDITY_DRIVERS!$F$24)/12*13W_FORECAST!J$11,(LIQUIDITY_DRIVERS!$F$24)/52))+(-LIQUIDITY_DRIVERS!$F$39*(MIN(ASSUMPTIONS!$C$18,ASSUMPTIONS!$C$7*13W_FORECAST!J$8)-MIN(ASSUMPTIONS!$C$18,ASSUMPTIONS!$C$7*(13W_FORECAST!J$8-1))))+(-LIQUIDITY_DRIVERS!$F$39*(MIN(ASSUMPTIONS!$C$19,ASSUMPTIONS!$C$7*13W_FORECAST!J$8)-MIN(ASSUMPTIONS!$C$19,ASSUMPTIONS!$C$7*(13W_FORECAST!J$8-1))))+(-IF(ASSUMPTIONS!$C$22="Month-end",(LIQUIDITY_DRIVERS!$F$25)/12*13W_FORECAST!J$11,(LIQUIDITY_DRIVERS!$F$25)/52))+(-IF(ASSUMPTIONS!$C$24="Month-end",(LIQUIDITY_DRIVERS!$F$58)/12*13W_FORECAST!J$11,(LIQUIDITY_DRIVERS!$F$58)/52))+(-IF(ASSUMPTIONS!$C$26="Month-end",(LIQUIDITY_DRIVERS!$F$50)/12*13W_FORECAST!J$11,(LIQUIDITY_DRIVERS!$F$50)/52))+(-IF(ASSUMPTIONS!$C$33="Month-end",(LIQUIDITY_DRIVERS!$F$67)/12*13W_FORECAST!J$11,(LIQUIDITY_DRIVERS!$F$67)/52))+(-IF(ASSUMPTIONS!$C$27="Month-end",(LIQUIDITY_DRIVERS!$F$26)/12*13W_FORECAST!J$11,(LIQUIDITY_DRIVERS!$F$26)/52)))*(1+ASSUMPTIONS!$C$49*(1-ASSUMPTIONS!$C$54))+(LIQUIDITY_DRIVERS!$F$69/52*ASSUMPTIONS!$C$41)+(-LIQUIDITY_DRIVERS!$F$69/52)+(-LIQUIDITY_DRIVERS!$F$73*AND(ASSUMPTIONS!$C$38&gt;=13W_FORECAST!J$9,ASSUMPTIONS!$C$38&lt;=13W_FORECAST!J$10))+(-IF(ASSUMPTIONS!$C$40="Month-end",(LIQUIDITY_DRIVERS!$F$74)/12*13W_FORECAST!J$11,(LIQUIDITY_DRIVERS!$F$74)/52))+(ASSUMPTIONS!$C$42/13)</f>
        <v>249.005018076923</v>
      </c>
      <c r="K19" s="66" t="n">
        <f aca="false">((IF(ASSUMPTIONS!$C$17="Month-end",(LIQUIDITY_DRIVERS!$F$11)/12*13W_FORECAST!K$11,(LIQUIDITY_DRIVERS!$F$11)/52))+(-LIQUIDITY_DRIVERS!$F$13*(MIN(ASSUMPTIONS!$C$16,ASSUMPTIONS!$C$7*13W_FORECAST!K$8)-MIN(ASSUMPTIONS!$C$16,ASSUMPTIONS!$C$7*(13W_FORECAST!K$8-1))))+(IF(ASSUMPTIONS!$C$28="Month-end",(LIQUIDITY_DRIVERS!$F$28)/12*13W_FORECAST!K$11,(LIQUIDITY_DRIVERS!$F$28)/52))+(ASSUMPTIONS!$C$29/13))*(1+ASSUMPTIONS!$C$49*(1-ASSUMPTIONS!$C$50))+((-IF(ASSUMPTIONS!$C$20="Month-end",(LIQUIDITY_DRIVERS!$F$24)/12*13W_FORECAST!K$11,(LIQUIDITY_DRIVERS!$F$24)/52))+(-LIQUIDITY_DRIVERS!$F$39*(MIN(ASSUMPTIONS!$C$18,ASSUMPTIONS!$C$7*13W_FORECAST!K$8)-MIN(ASSUMPTIONS!$C$18,ASSUMPTIONS!$C$7*(13W_FORECAST!K$8-1))))+(-LIQUIDITY_DRIVERS!$F$39*(MIN(ASSUMPTIONS!$C$19,ASSUMPTIONS!$C$7*13W_FORECAST!K$8)-MIN(ASSUMPTIONS!$C$19,ASSUMPTIONS!$C$7*(13W_FORECAST!K$8-1))))+(-IF(ASSUMPTIONS!$C$22="Month-end",(LIQUIDITY_DRIVERS!$F$25)/12*13W_FORECAST!K$11,(LIQUIDITY_DRIVERS!$F$25)/52))+(-IF(ASSUMPTIONS!$C$24="Month-end",(LIQUIDITY_DRIVERS!$F$58)/12*13W_FORECAST!K$11,(LIQUIDITY_DRIVERS!$F$58)/52))+(-IF(ASSUMPTIONS!$C$26="Month-end",(LIQUIDITY_DRIVERS!$F$50)/12*13W_FORECAST!K$11,(LIQUIDITY_DRIVERS!$F$50)/52))+(-IF(ASSUMPTIONS!$C$33="Month-end",(LIQUIDITY_DRIVERS!$F$67)/12*13W_FORECAST!K$11,(LIQUIDITY_DRIVERS!$F$67)/52))+(-IF(ASSUMPTIONS!$C$27="Month-end",(LIQUIDITY_DRIVERS!$F$26)/12*13W_FORECAST!K$11,(LIQUIDITY_DRIVERS!$F$26)/52)))*(1+ASSUMPTIONS!$C$49*(1-ASSUMPTIONS!$C$54))+(LIQUIDITY_DRIVERS!$F$69/52*ASSUMPTIONS!$C$41)+(-LIQUIDITY_DRIVERS!$F$69/52)+(-LIQUIDITY_DRIVERS!$F$73*AND(ASSUMPTIONS!$C$38&gt;=13W_FORECAST!K$9,ASSUMPTIONS!$C$38&lt;=13W_FORECAST!K$10))+(-IF(ASSUMPTIONS!$C$40="Month-end",(LIQUIDITY_DRIVERS!$F$74)/12*13W_FORECAST!K$11,(LIQUIDITY_DRIVERS!$F$74)/52))+(ASSUMPTIONS!$C$42/13)</f>
        <v>-502.06581525641</v>
      </c>
      <c r="L19" s="66" t="n">
        <f aca="false">((IF(ASSUMPTIONS!$C$17="Month-end",(LIQUIDITY_DRIVERS!$F$11)/12*13W_FORECAST!L$11,(LIQUIDITY_DRIVERS!$F$11)/52))+(-LIQUIDITY_DRIVERS!$F$13*(MIN(ASSUMPTIONS!$C$16,ASSUMPTIONS!$C$7*13W_FORECAST!L$8)-MIN(ASSUMPTIONS!$C$16,ASSUMPTIONS!$C$7*(13W_FORECAST!L$8-1))))+(IF(ASSUMPTIONS!$C$28="Month-end",(LIQUIDITY_DRIVERS!$F$28)/12*13W_FORECAST!L$11,(LIQUIDITY_DRIVERS!$F$28)/52))+(ASSUMPTIONS!$C$29/13))*(1+ASSUMPTIONS!$C$49*(1-ASSUMPTIONS!$C$50))+((-IF(ASSUMPTIONS!$C$20="Month-end",(LIQUIDITY_DRIVERS!$F$24)/12*13W_FORECAST!L$11,(LIQUIDITY_DRIVERS!$F$24)/52))+(-LIQUIDITY_DRIVERS!$F$39*(MIN(ASSUMPTIONS!$C$18,ASSUMPTIONS!$C$7*13W_FORECAST!L$8)-MIN(ASSUMPTIONS!$C$18,ASSUMPTIONS!$C$7*(13W_FORECAST!L$8-1))))+(-LIQUIDITY_DRIVERS!$F$39*(MIN(ASSUMPTIONS!$C$19,ASSUMPTIONS!$C$7*13W_FORECAST!L$8)-MIN(ASSUMPTIONS!$C$19,ASSUMPTIONS!$C$7*(13W_FORECAST!L$8-1))))+(-IF(ASSUMPTIONS!$C$22="Month-end",(LIQUIDITY_DRIVERS!$F$25)/12*13W_FORECAST!L$11,(LIQUIDITY_DRIVERS!$F$25)/52))+(-IF(ASSUMPTIONS!$C$24="Month-end",(LIQUIDITY_DRIVERS!$F$58)/12*13W_FORECAST!L$11,(LIQUIDITY_DRIVERS!$F$58)/52))+(-IF(ASSUMPTIONS!$C$26="Month-end",(LIQUIDITY_DRIVERS!$F$50)/12*13W_FORECAST!L$11,(LIQUIDITY_DRIVERS!$F$50)/52))+(-IF(ASSUMPTIONS!$C$33="Month-end",(LIQUIDITY_DRIVERS!$F$67)/12*13W_FORECAST!L$11,(LIQUIDITY_DRIVERS!$F$67)/52))+(-IF(ASSUMPTIONS!$C$27="Month-end",(LIQUIDITY_DRIVERS!$F$26)/12*13W_FORECAST!L$11,(LIQUIDITY_DRIVERS!$F$26)/52)))*(1+ASSUMPTIONS!$C$49*(1-ASSUMPTIONS!$C$54))+(LIQUIDITY_DRIVERS!$F$69/52*ASSUMPTIONS!$C$41)+(-LIQUIDITY_DRIVERS!$F$69/52)+(-LIQUIDITY_DRIVERS!$F$73*AND(ASSUMPTIONS!$C$38&gt;=13W_FORECAST!L$9,ASSUMPTIONS!$C$38&lt;=13W_FORECAST!L$10))+(-IF(ASSUMPTIONS!$C$40="Month-end",(LIQUIDITY_DRIVERS!$F$74)/12*13W_FORECAST!L$11,(LIQUIDITY_DRIVERS!$F$74)/52))+(ASSUMPTIONS!$C$42/13)</f>
        <v>249.005018076923</v>
      </c>
      <c r="M19" s="66" t="n">
        <f aca="false">((IF(ASSUMPTIONS!$C$17="Month-end",(LIQUIDITY_DRIVERS!$F$11)/12*13W_FORECAST!M$11,(LIQUIDITY_DRIVERS!$F$11)/52))+(-LIQUIDITY_DRIVERS!$F$13*(MIN(ASSUMPTIONS!$C$16,ASSUMPTIONS!$C$7*13W_FORECAST!M$8)-MIN(ASSUMPTIONS!$C$16,ASSUMPTIONS!$C$7*(13W_FORECAST!M$8-1))))+(IF(ASSUMPTIONS!$C$28="Month-end",(LIQUIDITY_DRIVERS!$F$28)/12*13W_FORECAST!M$11,(LIQUIDITY_DRIVERS!$F$28)/52))+(ASSUMPTIONS!$C$29/13))*(1+ASSUMPTIONS!$C$49*(1-ASSUMPTIONS!$C$50))+((-IF(ASSUMPTIONS!$C$20="Month-end",(LIQUIDITY_DRIVERS!$F$24)/12*13W_FORECAST!M$11,(LIQUIDITY_DRIVERS!$F$24)/52))+(-LIQUIDITY_DRIVERS!$F$39*(MIN(ASSUMPTIONS!$C$18,ASSUMPTIONS!$C$7*13W_FORECAST!M$8)-MIN(ASSUMPTIONS!$C$18,ASSUMPTIONS!$C$7*(13W_FORECAST!M$8-1))))+(-LIQUIDITY_DRIVERS!$F$39*(MIN(ASSUMPTIONS!$C$19,ASSUMPTIONS!$C$7*13W_FORECAST!M$8)-MIN(ASSUMPTIONS!$C$19,ASSUMPTIONS!$C$7*(13W_FORECAST!M$8-1))))+(-IF(ASSUMPTIONS!$C$22="Month-end",(LIQUIDITY_DRIVERS!$F$25)/12*13W_FORECAST!M$11,(LIQUIDITY_DRIVERS!$F$25)/52))+(-IF(ASSUMPTIONS!$C$24="Month-end",(LIQUIDITY_DRIVERS!$F$58)/12*13W_FORECAST!M$11,(LIQUIDITY_DRIVERS!$F$58)/52))+(-IF(ASSUMPTIONS!$C$26="Month-end",(LIQUIDITY_DRIVERS!$F$50)/12*13W_FORECAST!M$11,(LIQUIDITY_DRIVERS!$F$50)/52))+(-IF(ASSUMPTIONS!$C$33="Month-end",(LIQUIDITY_DRIVERS!$F$67)/12*13W_FORECAST!M$11,(LIQUIDITY_DRIVERS!$F$67)/52))+(-IF(ASSUMPTIONS!$C$27="Month-end",(LIQUIDITY_DRIVERS!$F$26)/12*13W_FORECAST!M$11,(LIQUIDITY_DRIVERS!$F$26)/52)))*(1+ASSUMPTIONS!$C$49*(1-ASSUMPTIONS!$C$54))+(LIQUIDITY_DRIVERS!$F$69/52*ASSUMPTIONS!$C$41)+(-LIQUIDITY_DRIVERS!$F$69/52)+(-LIQUIDITY_DRIVERS!$F$73*AND(ASSUMPTIONS!$C$38&gt;=13W_FORECAST!M$9,ASSUMPTIONS!$C$38&lt;=13W_FORECAST!M$10))+(-IF(ASSUMPTIONS!$C$40="Month-end",(LIQUIDITY_DRIVERS!$F$74)/12*13W_FORECAST!M$11,(LIQUIDITY_DRIVERS!$F$74)/52))+(ASSUMPTIONS!$C$42/13)</f>
        <v>249.005018076923</v>
      </c>
      <c r="N19" s="66" t="n">
        <f aca="false">((IF(ASSUMPTIONS!$C$17="Month-end",(LIQUIDITY_DRIVERS!$F$11)/12*13W_FORECAST!N$11,(LIQUIDITY_DRIVERS!$F$11)/52))+(-LIQUIDITY_DRIVERS!$F$13*(MIN(ASSUMPTIONS!$C$16,ASSUMPTIONS!$C$7*13W_FORECAST!N$8)-MIN(ASSUMPTIONS!$C$16,ASSUMPTIONS!$C$7*(13W_FORECAST!N$8-1))))+(IF(ASSUMPTIONS!$C$28="Month-end",(LIQUIDITY_DRIVERS!$F$28)/12*13W_FORECAST!N$11,(LIQUIDITY_DRIVERS!$F$28)/52))+(ASSUMPTIONS!$C$29/13))*(1+ASSUMPTIONS!$C$49*(1-ASSUMPTIONS!$C$50))+((-IF(ASSUMPTIONS!$C$20="Month-end",(LIQUIDITY_DRIVERS!$F$24)/12*13W_FORECAST!N$11,(LIQUIDITY_DRIVERS!$F$24)/52))+(-LIQUIDITY_DRIVERS!$F$39*(MIN(ASSUMPTIONS!$C$18,ASSUMPTIONS!$C$7*13W_FORECAST!N$8)-MIN(ASSUMPTIONS!$C$18,ASSUMPTIONS!$C$7*(13W_FORECAST!N$8-1))))+(-LIQUIDITY_DRIVERS!$F$39*(MIN(ASSUMPTIONS!$C$19,ASSUMPTIONS!$C$7*13W_FORECAST!N$8)-MIN(ASSUMPTIONS!$C$19,ASSUMPTIONS!$C$7*(13W_FORECAST!N$8-1))))+(-IF(ASSUMPTIONS!$C$22="Month-end",(LIQUIDITY_DRIVERS!$F$25)/12*13W_FORECAST!N$11,(LIQUIDITY_DRIVERS!$F$25)/52))+(-IF(ASSUMPTIONS!$C$24="Month-end",(LIQUIDITY_DRIVERS!$F$58)/12*13W_FORECAST!N$11,(LIQUIDITY_DRIVERS!$F$58)/52))+(-IF(ASSUMPTIONS!$C$26="Month-end",(LIQUIDITY_DRIVERS!$F$50)/12*13W_FORECAST!N$11,(LIQUIDITY_DRIVERS!$F$50)/52))+(-IF(ASSUMPTIONS!$C$33="Month-end",(LIQUIDITY_DRIVERS!$F$67)/12*13W_FORECAST!N$11,(LIQUIDITY_DRIVERS!$F$67)/52))+(-IF(ASSUMPTIONS!$C$27="Month-end",(LIQUIDITY_DRIVERS!$F$26)/12*13W_FORECAST!N$11,(LIQUIDITY_DRIVERS!$F$26)/52)))*(1+ASSUMPTIONS!$C$49*(1-ASSUMPTIONS!$C$54))+(LIQUIDITY_DRIVERS!$F$69/52*ASSUMPTIONS!$C$41)+(-LIQUIDITY_DRIVERS!$F$69/52)+(-LIQUIDITY_DRIVERS!$F$73*AND(ASSUMPTIONS!$C$38&gt;=13W_FORECAST!N$9,ASSUMPTIONS!$C$38&lt;=13W_FORECAST!N$10))+(-IF(ASSUMPTIONS!$C$40="Month-end",(LIQUIDITY_DRIVERS!$F$74)/12*13W_FORECAST!N$11,(LIQUIDITY_DRIVERS!$F$74)/52))+(ASSUMPTIONS!$C$42/13)</f>
        <v>249.005018076923</v>
      </c>
      <c r="O19" s="66" t="n">
        <f aca="false">((IF(ASSUMPTIONS!$C$17="Month-end",(LIQUIDITY_DRIVERS!$F$11)/12*13W_FORECAST!O$11,(LIQUIDITY_DRIVERS!$F$11)/52))+(-LIQUIDITY_DRIVERS!$F$13*(MIN(ASSUMPTIONS!$C$16,ASSUMPTIONS!$C$7*13W_FORECAST!O$8)-MIN(ASSUMPTIONS!$C$16,ASSUMPTIONS!$C$7*(13W_FORECAST!O$8-1))))+(IF(ASSUMPTIONS!$C$28="Month-end",(LIQUIDITY_DRIVERS!$F$28)/12*13W_FORECAST!O$11,(LIQUIDITY_DRIVERS!$F$28)/52))+(ASSUMPTIONS!$C$29/13))*(1+ASSUMPTIONS!$C$49*(1-ASSUMPTIONS!$C$50))+((-IF(ASSUMPTIONS!$C$20="Month-end",(LIQUIDITY_DRIVERS!$F$24)/12*13W_FORECAST!O$11,(LIQUIDITY_DRIVERS!$F$24)/52))+(-LIQUIDITY_DRIVERS!$F$39*(MIN(ASSUMPTIONS!$C$18,ASSUMPTIONS!$C$7*13W_FORECAST!O$8)-MIN(ASSUMPTIONS!$C$18,ASSUMPTIONS!$C$7*(13W_FORECAST!O$8-1))))+(-LIQUIDITY_DRIVERS!$F$39*(MIN(ASSUMPTIONS!$C$19,ASSUMPTIONS!$C$7*13W_FORECAST!O$8)-MIN(ASSUMPTIONS!$C$19,ASSUMPTIONS!$C$7*(13W_FORECAST!O$8-1))))+(-IF(ASSUMPTIONS!$C$22="Month-end",(LIQUIDITY_DRIVERS!$F$25)/12*13W_FORECAST!O$11,(LIQUIDITY_DRIVERS!$F$25)/52))+(-IF(ASSUMPTIONS!$C$24="Month-end",(LIQUIDITY_DRIVERS!$F$58)/12*13W_FORECAST!O$11,(LIQUIDITY_DRIVERS!$F$58)/52))+(-IF(ASSUMPTIONS!$C$26="Month-end",(LIQUIDITY_DRIVERS!$F$50)/12*13W_FORECAST!O$11,(LIQUIDITY_DRIVERS!$F$50)/52))+(-IF(ASSUMPTIONS!$C$33="Month-end",(LIQUIDITY_DRIVERS!$F$67)/12*13W_FORECAST!O$11,(LIQUIDITY_DRIVERS!$F$67)/52))+(-IF(ASSUMPTIONS!$C$27="Month-end",(LIQUIDITY_DRIVERS!$F$26)/12*13W_FORECAST!O$11,(LIQUIDITY_DRIVERS!$F$26)/52)))*(1+ASSUMPTIONS!$C$49*(1-ASSUMPTIONS!$C$54))+(LIQUIDITY_DRIVERS!$F$69/52*ASSUMPTIONS!$C$41)+(-LIQUIDITY_DRIVERS!$F$69/52)+(-LIQUIDITY_DRIVERS!$F$73*AND(ASSUMPTIONS!$C$38&gt;=13W_FORECAST!O$9,ASSUMPTIONS!$C$38&lt;=13W_FORECAST!O$10))+(-IF(ASSUMPTIONS!$C$40="Month-end",(LIQUIDITY_DRIVERS!$F$74)/12*13W_FORECAST!O$11,(LIQUIDITY_DRIVERS!$F$74)/52))+(ASSUMPTIONS!$C$42/13)</f>
        <v>-502.06581525641</v>
      </c>
      <c r="P19" s="40"/>
    </row>
    <row r="20" customFormat="false" ht="15" hidden="false" customHeight="false" outlineLevel="0" collapsed="false">
      <c r="A20" s="14" t="s">
        <v>898</v>
      </c>
      <c r="B20" s="66" t="n">
        <f aca="false">MIN(C20:O20)</f>
        <v>3260.19636054268</v>
      </c>
      <c r="C20" s="67" t="n">
        <f aca="false">13W_FORECAST!$C$16+SUM($C$19:C19)</f>
        <v>3260.19636054268</v>
      </c>
      <c r="D20" s="67" t="n">
        <f aca="false">13W_FORECAST!$C$16+SUM($C$19:D19)</f>
        <v>3509.2013786196</v>
      </c>
      <c r="E20" s="67" t="n">
        <f aca="false">13W_FORECAST!$C$16+SUM($C$19:E19)</f>
        <v>3758.20639669652</v>
      </c>
      <c r="F20" s="67" t="n">
        <f aca="false">13W_FORECAST!$C$16+SUM($C$19:F19)</f>
        <v>4007.21141477345</v>
      </c>
      <c r="G20" s="67" t="n">
        <f aca="false">13W_FORECAST!$C$16+SUM($C$19:G19)</f>
        <v>3505.14559951704</v>
      </c>
      <c r="H20" s="67" t="n">
        <f aca="false">13W_FORECAST!$C$16+SUM($C$19:H19)</f>
        <v>3754.15061759396</v>
      </c>
      <c r="I20" s="67" t="n">
        <f aca="false">13W_FORECAST!$C$16+SUM($C$19:I19)</f>
        <v>4003.15563567088</v>
      </c>
      <c r="J20" s="67" t="n">
        <f aca="false">13W_FORECAST!$C$16+SUM($C$19:J19)</f>
        <v>4252.16065374781</v>
      </c>
      <c r="K20" s="67" t="n">
        <f aca="false">13W_FORECAST!$C$16+SUM($C$19:K19)</f>
        <v>3750.09483849139</v>
      </c>
      <c r="L20" s="67" t="n">
        <f aca="false">13W_FORECAST!$C$16+SUM($C$19:L19)</f>
        <v>3999.09985656832</v>
      </c>
      <c r="M20" s="67" t="n">
        <f aca="false">13W_FORECAST!$C$16+SUM($C$19:M19)</f>
        <v>4248.10487464524</v>
      </c>
      <c r="N20" s="67" t="n">
        <f aca="false">13W_FORECAST!$C$16+SUM($C$19:N19)</f>
        <v>4497.10989272216</v>
      </c>
      <c r="O20" s="67" t="n">
        <f aca="false">13W_FORECAST!$C$16+SUM($C$19:O19)</f>
        <v>3995.04407746575</v>
      </c>
      <c r="P20" s="40" t="s">
        <v>896</v>
      </c>
    </row>
    <row r="21" customFormat="false" ht="15" hidden="false" customHeight="false" outlineLevel="0" collapsed="false">
      <c r="A21" s="9" t="s">
        <v>899</v>
      </c>
      <c r="B21" s="66" t="n">
        <f aca="false">SUM(C21:O21)</f>
        <v>-2191.60081589041</v>
      </c>
      <c r="C21" s="66" t="n">
        <f aca="false">((IF(ASSUMPTIONS!$D$17="Month-end",(LIQUIDITY_DRIVERS!$G$11)/12*13W_FORECAST!C$11,(LIQUIDITY_DRIVERS!$G$11)/52))+(-LIQUIDITY_DRIVERS!$G$13*(MIN(ASSUMPTIONS!$D$16,ASSUMPTIONS!$D$7*13W_FORECAST!C$8)-MIN(ASSUMPTIONS!$D$16,ASSUMPTIONS!$D$7*(13W_FORECAST!C$8-1))))+(IF(ASSUMPTIONS!$D$28="Month-end",(LIQUIDITY_DRIVERS!$G$28)/12*13W_FORECAST!C$11,(LIQUIDITY_DRIVERS!$G$28)/52))+(ASSUMPTIONS!$D$29/13))*(1+ASSUMPTIONS!$D$49*(1-ASSUMPTIONS!$D$50))+((-IF(ASSUMPTIONS!$D$20="Month-end",(LIQUIDITY_DRIVERS!$G$24)/12*13W_FORECAST!C$11,(LIQUIDITY_DRIVERS!$G$24)/52))+(-LIQUIDITY_DRIVERS!$G$39*(MIN(ASSUMPTIONS!$D$18,ASSUMPTIONS!$D$7*13W_FORECAST!C$8)-MIN(ASSUMPTIONS!$D$18,ASSUMPTIONS!$D$7*(13W_FORECAST!C$8-1))))+(-LIQUIDITY_DRIVERS!$G$39*(MIN(ASSUMPTIONS!$D$19,ASSUMPTIONS!$D$7*13W_FORECAST!C$8)-MIN(ASSUMPTIONS!$D$19,ASSUMPTIONS!$D$7*(13W_FORECAST!C$8-1))))+(-IF(ASSUMPTIONS!$D$22="Month-end",(LIQUIDITY_DRIVERS!$G$25)/12*13W_FORECAST!C$11,(LIQUIDITY_DRIVERS!$G$25)/52))+(-IF(ASSUMPTIONS!$D$24="Month-end",(LIQUIDITY_DRIVERS!$G$58)/12*13W_FORECAST!C$11,(LIQUIDITY_DRIVERS!$G$58)/52))+(-IF(ASSUMPTIONS!$D$26="Month-end",(LIQUIDITY_DRIVERS!$G$50)/12*13W_FORECAST!C$11,(LIQUIDITY_DRIVERS!$G$50)/52))+(-IF(ASSUMPTIONS!$D$33="Month-end",(LIQUIDITY_DRIVERS!$G$67)/12*13W_FORECAST!C$11,(LIQUIDITY_DRIVERS!$G$67)/52))+(-IF(ASSUMPTIONS!$D$27="Month-end",(LIQUIDITY_DRIVERS!$G$26)/12*13W_FORECAST!C$11,(LIQUIDITY_DRIVERS!$G$26)/52)))*(1+ASSUMPTIONS!$D$49*(1-ASSUMPTIONS!$D$54))+(LIQUIDITY_DRIVERS!$G$69/52*ASSUMPTIONS!$D$41)+(-LIQUIDITY_DRIVERS!$G$69/52)+(-LIQUIDITY_DRIVERS!$G$73*AND(ASSUMPTIONS!$D$38&gt;=13W_FORECAST!C$9,ASSUMPTIONS!$D$38&lt;=13W_FORECAST!C$10))+(-IF(ASSUMPTIONS!$D$40="Month-end",(LIQUIDITY_DRIVERS!$G$74)/12*13W_FORECAST!C$11,(LIQUIDITY_DRIVERS!$G$74)/52))+(ASSUMPTIONS!$D$42/13)</f>
        <v>-1335.78491987355</v>
      </c>
      <c r="D21" s="66" t="n">
        <f aca="false">((IF(ASSUMPTIONS!$D$17="Month-end",(LIQUIDITY_DRIVERS!$G$11)/12*13W_FORECAST!D$11,(LIQUIDITY_DRIVERS!$G$11)/52))+(-LIQUIDITY_DRIVERS!$G$13*(MIN(ASSUMPTIONS!$D$16,ASSUMPTIONS!$D$7*13W_FORECAST!D$8)-MIN(ASSUMPTIONS!$D$16,ASSUMPTIONS!$D$7*(13W_FORECAST!D$8-1))))+(IF(ASSUMPTIONS!$D$28="Month-end",(LIQUIDITY_DRIVERS!$G$28)/12*13W_FORECAST!D$11,(LIQUIDITY_DRIVERS!$G$28)/52))+(ASSUMPTIONS!$D$29/13))*(1+ASSUMPTIONS!$D$49*(1-ASSUMPTIONS!$D$50))+((-IF(ASSUMPTIONS!$D$20="Month-end",(LIQUIDITY_DRIVERS!$G$24)/12*13W_FORECAST!D$11,(LIQUIDITY_DRIVERS!$G$24)/52))+(-LIQUIDITY_DRIVERS!$G$39*(MIN(ASSUMPTIONS!$D$18,ASSUMPTIONS!$D$7*13W_FORECAST!D$8)-MIN(ASSUMPTIONS!$D$18,ASSUMPTIONS!$D$7*(13W_FORECAST!D$8-1))))+(-LIQUIDITY_DRIVERS!$G$39*(MIN(ASSUMPTIONS!$D$19,ASSUMPTIONS!$D$7*13W_FORECAST!D$8)-MIN(ASSUMPTIONS!$D$19,ASSUMPTIONS!$D$7*(13W_FORECAST!D$8-1))))+(-IF(ASSUMPTIONS!$D$22="Month-end",(LIQUIDITY_DRIVERS!$G$25)/12*13W_FORECAST!D$11,(LIQUIDITY_DRIVERS!$G$25)/52))+(-IF(ASSUMPTIONS!$D$24="Month-end",(LIQUIDITY_DRIVERS!$G$58)/12*13W_FORECAST!D$11,(LIQUIDITY_DRIVERS!$G$58)/52))+(-IF(ASSUMPTIONS!$D$26="Month-end",(LIQUIDITY_DRIVERS!$G$50)/12*13W_FORECAST!D$11,(LIQUIDITY_DRIVERS!$G$50)/52))+(-IF(ASSUMPTIONS!$D$33="Month-end",(LIQUIDITY_DRIVERS!$G$67)/12*13W_FORECAST!D$11,(LIQUIDITY_DRIVERS!$G$67)/52))+(-IF(ASSUMPTIONS!$D$27="Month-end",(LIQUIDITY_DRIVERS!$G$26)/12*13W_FORECAST!D$11,(LIQUIDITY_DRIVERS!$G$26)/52)))*(1+ASSUMPTIONS!$D$49*(1-ASSUMPTIONS!$D$54))+(LIQUIDITY_DRIVERS!$G$69/52*ASSUMPTIONS!$D$41)+(-LIQUIDITY_DRIVERS!$G$69/52)+(-LIQUIDITY_DRIVERS!$G$73*AND(ASSUMPTIONS!$D$38&gt;=13W_FORECAST!D$9,ASSUMPTIONS!$D$38&lt;=13W_FORECAST!D$10))+(-IF(ASSUMPTIONS!$D$40="Month-end",(LIQUIDITY_DRIVERS!$G$74)/12*13W_FORECAST!D$11,(LIQUIDITY_DRIVERS!$G$74)/52))+(ASSUMPTIONS!$D$42/13)</f>
        <v>-656.758892476291</v>
      </c>
      <c r="E21" s="66" t="n">
        <f aca="false">((IF(ASSUMPTIONS!$D$17="Month-end",(LIQUIDITY_DRIVERS!$G$11)/12*13W_FORECAST!E$11,(LIQUIDITY_DRIVERS!$G$11)/52))+(-LIQUIDITY_DRIVERS!$G$13*(MIN(ASSUMPTIONS!$D$16,ASSUMPTIONS!$D$7*13W_FORECAST!E$8)-MIN(ASSUMPTIONS!$D$16,ASSUMPTIONS!$D$7*(13W_FORECAST!E$8-1))))+(IF(ASSUMPTIONS!$D$28="Month-end",(LIQUIDITY_DRIVERS!$G$28)/12*13W_FORECAST!E$11,(LIQUIDITY_DRIVERS!$G$28)/52))+(ASSUMPTIONS!$D$29/13))*(1+ASSUMPTIONS!$D$49*(1-ASSUMPTIONS!$D$50))+((-IF(ASSUMPTIONS!$D$20="Month-end",(LIQUIDITY_DRIVERS!$G$24)/12*13W_FORECAST!E$11,(LIQUIDITY_DRIVERS!$G$24)/52))+(-LIQUIDITY_DRIVERS!$G$39*(MIN(ASSUMPTIONS!$D$18,ASSUMPTIONS!$D$7*13W_FORECAST!E$8)-MIN(ASSUMPTIONS!$D$18,ASSUMPTIONS!$D$7*(13W_FORECAST!E$8-1))))+(-LIQUIDITY_DRIVERS!$G$39*(MIN(ASSUMPTIONS!$D$19,ASSUMPTIONS!$D$7*13W_FORECAST!E$8)-MIN(ASSUMPTIONS!$D$19,ASSUMPTIONS!$D$7*(13W_FORECAST!E$8-1))))+(-IF(ASSUMPTIONS!$D$22="Month-end",(LIQUIDITY_DRIVERS!$G$25)/12*13W_FORECAST!E$11,(LIQUIDITY_DRIVERS!$G$25)/52))+(-IF(ASSUMPTIONS!$D$24="Month-end",(LIQUIDITY_DRIVERS!$G$58)/12*13W_FORECAST!E$11,(LIQUIDITY_DRIVERS!$G$58)/52))+(-IF(ASSUMPTIONS!$D$26="Month-end",(LIQUIDITY_DRIVERS!$G$50)/12*13W_FORECAST!E$11,(LIQUIDITY_DRIVERS!$G$50)/52))+(-IF(ASSUMPTIONS!$D$33="Month-end",(LIQUIDITY_DRIVERS!$G$67)/12*13W_FORECAST!E$11,(LIQUIDITY_DRIVERS!$G$67)/52))+(-IF(ASSUMPTIONS!$D$27="Month-end",(LIQUIDITY_DRIVERS!$G$26)/12*13W_FORECAST!E$11,(LIQUIDITY_DRIVERS!$G$26)/52)))*(1+ASSUMPTIONS!$D$49*(1-ASSUMPTIONS!$D$54))+(LIQUIDITY_DRIVERS!$G$69/52*ASSUMPTIONS!$D$41)+(-LIQUIDITY_DRIVERS!$G$69/52)+(-LIQUIDITY_DRIVERS!$G$73*AND(ASSUMPTIONS!$D$38&gt;=13W_FORECAST!E$9,ASSUMPTIONS!$D$38&lt;=13W_FORECAST!E$10))+(-IF(ASSUMPTIONS!$D$40="Month-end",(LIQUIDITY_DRIVERS!$G$74)/12*13W_FORECAST!E$11,(LIQUIDITY_DRIVERS!$G$74)/52))+(ASSUMPTIONS!$D$42/13)</f>
        <v>68.8239349209694</v>
      </c>
      <c r="F21" s="66" t="n">
        <f aca="false">((IF(ASSUMPTIONS!$D$17="Month-end",(LIQUIDITY_DRIVERS!$G$11)/12*13W_FORECAST!F$11,(LIQUIDITY_DRIVERS!$G$11)/52))+(-LIQUIDITY_DRIVERS!$G$13*(MIN(ASSUMPTIONS!$D$16,ASSUMPTIONS!$D$7*13W_FORECAST!F$8)-MIN(ASSUMPTIONS!$D$16,ASSUMPTIONS!$D$7*(13W_FORECAST!F$8-1))))+(IF(ASSUMPTIONS!$D$28="Month-end",(LIQUIDITY_DRIVERS!$G$28)/12*13W_FORECAST!F$11,(LIQUIDITY_DRIVERS!$G$28)/52))+(ASSUMPTIONS!$D$29/13))*(1+ASSUMPTIONS!$D$49*(1-ASSUMPTIONS!$D$50))+((-IF(ASSUMPTIONS!$D$20="Month-end",(LIQUIDITY_DRIVERS!$G$24)/12*13W_FORECAST!F$11,(LIQUIDITY_DRIVERS!$G$24)/52))+(-LIQUIDITY_DRIVERS!$G$39*(MIN(ASSUMPTIONS!$D$18,ASSUMPTIONS!$D$7*13W_FORECAST!F$8)-MIN(ASSUMPTIONS!$D$18,ASSUMPTIONS!$D$7*(13W_FORECAST!F$8-1))))+(-LIQUIDITY_DRIVERS!$G$39*(MIN(ASSUMPTIONS!$D$19,ASSUMPTIONS!$D$7*13W_FORECAST!F$8)-MIN(ASSUMPTIONS!$D$19,ASSUMPTIONS!$D$7*(13W_FORECAST!F$8-1))))+(-IF(ASSUMPTIONS!$D$22="Month-end",(LIQUIDITY_DRIVERS!$G$25)/12*13W_FORECAST!F$11,(LIQUIDITY_DRIVERS!$G$25)/52))+(-IF(ASSUMPTIONS!$D$24="Month-end",(LIQUIDITY_DRIVERS!$G$58)/12*13W_FORECAST!F$11,(LIQUIDITY_DRIVERS!$G$58)/52))+(-IF(ASSUMPTIONS!$D$26="Month-end",(LIQUIDITY_DRIVERS!$G$50)/12*13W_FORECAST!F$11,(LIQUIDITY_DRIVERS!$G$50)/52))+(-IF(ASSUMPTIONS!$D$33="Month-end",(LIQUIDITY_DRIVERS!$G$67)/12*13W_FORECAST!F$11,(LIQUIDITY_DRIVERS!$G$67)/52))+(-IF(ASSUMPTIONS!$D$27="Month-end",(LIQUIDITY_DRIVERS!$G$26)/12*13W_FORECAST!F$11,(LIQUIDITY_DRIVERS!$G$26)/52)))*(1+ASSUMPTIONS!$D$49*(1-ASSUMPTIONS!$D$54))+(LIQUIDITY_DRIVERS!$G$69/52*ASSUMPTIONS!$D$41)+(-LIQUIDITY_DRIVERS!$G$69/52)+(-LIQUIDITY_DRIVERS!$G$73*AND(ASSUMPTIONS!$D$38&gt;=13W_FORECAST!F$9,ASSUMPTIONS!$D$38&lt;=13W_FORECAST!F$10))+(-IF(ASSUMPTIONS!$D$40="Month-end",(LIQUIDITY_DRIVERS!$G$74)/12*13W_FORECAST!F$11,(LIQUIDITY_DRIVERS!$G$74)/52))+(ASSUMPTIONS!$D$42/13)</f>
        <v>189.754406153846</v>
      </c>
      <c r="G21" s="66" t="n">
        <f aca="false">((IF(ASSUMPTIONS!$D$17="Month-end",(LIQUIDITY_DRIVERS!$G$11)/12*13W_FORECAST!G$11,(LIQUIDITY_DRIVERS!$G$11)/52))+(-LIQUIDITY_DRIVERS!$G$13*(MIN(ASSUMPTIONS!$D$16,ASSUMPTIONS!$D$7*13W_FORECAST!G$8)-MIN(ASSUMPTIONS!$D$16,ASSUMPTIONS!$D$7*(13W_FORECAST!G$8-1))))+(IF(ASSUMPTIONS!$D$28="Month-end",(LIQUIDITY_DRIVERS!$G$28)/12*13W_FORECAST!G$11,(LIQUIDITY_DRIVERS!$G$28)/52))+(ASSUMPTIONS!$D$29/13))*(1+ASSUMPTIONS!$D$49*(1-ASSUMPTIONS!$D$50))+((-IF(ASSUMPTIONS!$D$20="Month-end",(LIQUIDITY_DRIVERS!$G$24)/12*13W_FORECAST!G$11,(LIQUIDITY_DRIVERS!$G$24)/52))+(-LIQUIDITY_DRIVERS!$G$39*(MIN(ASSUMPTIONS!$D$18,ASSUMPTIONS!$D$7*13W_FORECAST!G$8)-MIN(ASSUMPTIONS!$D$18,ASSUMPTIONS!$D$7*(13W_FORECAST!G$8-1))))+(-LIQUIDITY_DRIVERS!$G$39*(MIN(ASSUMPTIONS!$D$19,ASSUMPTIONS!$D$7*13W_FORECAST!G$8)-MIN(ASSUMPTIONS!$D$19,ASSUMPTIONS!$D$7*(13W_FORECAST!G$8-1))))+(-IF(ASSUMPTIONS!$D$22="Month-end",(LIQUIDITY_DRIVERS!$G$25)/12*13W_FORECAST!G$11,(LIQUIDITY_DRIVERS!$G$25)/52))+(-IF(ASSUMPTIONS!$D$24="Month-end",(LIQUIDITY_DRIVERS!$G$58)/12*13W_FORECAST!G$11,(LIQUIDITY_DRIVERS!$G$58)/52))+(-IF(ASSUMPTIONS!$D$26="Month-end",(LIQUIDITY_DRIVERS!$G$50)/12*13W_FORECAST!G$11,(LIQUIDITY_DRIVERS!$G$50)/52))+(-IF(ASSUMPTIONS!$D$33="Month-end",(LIQUIDITY_DRIVERS!$G$67)/12*13W_FORECAST!G$11,(LIQUIDITY_DRIVERS!$G$67)/52))+(-IF(ASSUMPTIONS!$D$27="Month-end",(LIQUIDITY_DRIVERS!$G$26)/12*13W_FORECAST!G$11,(LIQUIDITY_DRIVERS!$G$26)/52)))*(1+ASSUMPTIONS!$D$49*(1-ASSUMPTIONS!$D$54))+(LIQUIDITY_DRIVERS!$G$69/52*ASSUMPTIONS!$D$41)+(-LIQUIDITY_DRIVERS!$G$69/52)+(-LIQUIDITY_DRIVERS!$G$73*AND(ASSUMPTIONS!$D$38&gt;=13W_FORECAST!G$9,ASSUMPTIONS!$D$38&lt;=13W_FORECAST!G$10))+(-IF(ASSUMPTIONS!$D$40="Month-end",(LIQUIDITY_DRIVERS!$G$74)/12*13W_FORECAST!G$11,(LIQUIDITY_DRIVERS!$G$74)/52))+(ASSUMPTIONS!$D$42/13)</f>
        <v>-532.053927179488</v>
      </c>
      <c r="H21" s="66" t="n">
        <f aca="false">((IF(ASSUMPTIONS!$D$17="Month-end",(LIQUIDITY_DRIVERS!$G$11)/12*13W_FORECAST!H$11,(LIQUIDITY_DRIVERS!$G$11)/52))+(-LIQUIDITY_DRIVERS!$G$13*(MIN(ASSUMPTIONS!$D$16,ASSUMPTIONS!$D$7*13W_FORECAST!H$8)-MIN(ASSUMPTIONS!$D$16,ASSUMPTIONS!$D$7*(13W_FORECAST!H$8-1))))+(IF(ASSUMPTIONS!$D$28="Month-end",(LIQUIDITY_DRIVERS!$G$28)/12*13W_FORECAST!H$11,(LIQUIDITY_DRIVERS!$G$28)/52))+(ASSUMPTIONS!$D$29/13))*(1+ASSUMPTIONS!$D$49*(1-ASSUMPTIONS!$D$50))+((-IF(ASSUMPTIONS!$D$20="Month-end",(LIQUIDITY_DRIVERS!$G$24)/12*13W_FORECAST!H$11,(LIQUIDITY_DRIVERS!$G$24)/52))+(-LIQUIDITY_DRIVERS!$G$39*(MIN(ASSUMPTIONS!$D$18,ASSUMPTIONS!$D$7*13W_FORECAST!H$8)-MIN(ASSUMPTIONS!$D$18,ASSUMPTIONS!$D$7*(13W_FORECAST!H$8-1))))+(-LIQUIDITY_DRIVERS!$G$39*(MIN(ASSUMPTIONS!$D$19,ASSUMPTIONS!$D$7*13W_FORECAST!H$8)-MIN(ASSUMPTIONS!$D$19,ASSUMPTIONS!$D$7*(13W_FORECAST!H$8-1))))+(-IF(ASSUMPTIONS!$D$22="Month-end",(LIQUIDITY_DRIVERS!$G$25)/12*13W_FORECAST!H$11,(LIQUIDITY_DRIVERS!$G$25)/52))+(-IF(ASSUMPTIONS!$D$24="Month-end",(LIQUIDITY_DRIVERS!$G$58)/12*13W_FORECAST!H$11,(LIQUIDITY_DRIVERS!$G$58)/52))+(-IF(ASSUMPTIONS!$D$26="Month-end",(LIQUIDITY_DRIVERS!$G$50)/12*13W_FORECAST!H$11,(LIQUIDITY_DRIVERS!$G$50)/52))+(-IF(ASSUMPTIONS!$D$33="Month-end",(LIQUIDITY_DRIVERS!$G$67)/12*13W_FORECAST!H$11,(LIQUIDITY_DRIVERS!$G$67)/52))+(-IF(ASSUMPTIONS!$D$27="Month-end",(LIQUIDITY_DRIVERS!$G$26)/12*13W_FORECAST!H$11,(LIQUIDITY_DRIVERS!$G$26)/52)))*(1+ASSUMPTIONS!$D$49*(1-ASSUMPTIONS!$D$54))+(LIQUIDITY_DRIVERS!$G$69/52*ASSUMPTIONS!$D$41)+(-LIQUIDITY_DRIVERS!$G$69/52)+(-LIQUIDITY_DRIVERS!$G$73*AND(ASSUMPTIONS!$D$38&gt;=13W_FORECAST!H$9,ASSUMPTIONS!$D$38&lt;=13W_FORECAST!H$10))+(-IF(ASSUMPTIONS!$D$40="Month-end",(LIQUIDITY_DRIVERS!$G$74)/12*13W_FORECAST!H$11,(LIQUIDITY_DRIVERS!$G$74)/52))+(ASSUMPTIONS!$D$42/13)</f>
        <v>189.754406153846</v>
      </c>
      <c r="I21" s="66" t="n">
        <f aca="false">((IF(ASSUMPTIONS!$D$17="Month-end",(LIQUIDITY_DRIVERS!$G$11)/12*13W_FORECAST!I$11,(LIQUIDITY_DRIVERS!$G$11)/52))+(-LIQUIDITY_DRIVERS!$G$13*(MIN(ASSUMPTIONS!$D$16,ASSUMPTIONS!$D$7*13W_FORECAST!I$8)-MIN(ASSUMPTIONS!$D$16,ASSUMPTIONS!$D$7*(13W_FORECAST!I$8-1))))+(IF(ASSUMPTIONS!$D$28="Month-end",(LIQUIDITY_DRIVERS!$G$28)/12*13W_FORECAST!I$11,(LIQUIDITY_DRIVERS!$G$28)/52))+(ASSUMPTIONS!$D$29/13))*(1+ASSUMPTIONS!$D$49*(1-ASSUMPTIONS!$D$50))+((-IF(ASSUMPTIONS!$D$20="Month-end",(LIQUIDITY_DRIVERS!$G$24)/12*13W_FORECAST!I$11,(LIQUIDITY_DRIVERS!$G$24)/52))+(-LIQUIDITY_DRIVERS!$G$39*(MIN(ASSUMPTIONS!$D$18,ASSUMPTIONS!$D$7*13W_FORECAST!I$8)-MIN(ASSUMPTIONS!$D$18,ASSUMPTIONS!$D$7*(13W_FORECAST!I$8-1))))+(-LIQUIDITY_DRIVERS!$G$39*(MIN(ASSUMPTIONS!$D$19,ASSUMPTIONS!$D$7*13W_FORECAST!I$8)-MIN(ASSUMPTIONS!$D$19,ASSUMPTIONS!$D$7*(13W_FORECAST!I$8-1))))+(-IF(ASSUMPTIONS!$D$22="Month-end",(LIQUIDITY_DRIVERS!$G$25)/12*13W_FORECAST!I$11,(LIQUIDITY_DRIVERS!$G$25)/52))+(-IF(ASSUMPTIONS!$D$24="Month-end",(LIQUIDITY_DRIVERS!$G$58)/12*13W_FORECAST!I$11,(LIQUIDITY_DRIVERS!$G$58)/52))+(-IF(ASSUMPTIONS!$D$26="Month-end",(LIQUIDITY_DRIVERS!$G$50)/12*13W_FORECAST!I$11,(LIQUIDITY_DRIVERS!$G$50)/52))+(-IF(ASSUMPTIONS!$D$33="Month-end",(LIQUIDITY_DRIVERS!$G$67)/12*13W_FORECAST!I$11,(LIQUIDITY_DRIVERS!$G$67)/52))+(-IF(ASSUMPTIONS!$D$27="Month-end",(LIQUIDITY_DRIVERS!$G$26)/12*13W_FORECAST!I$11,(LIQUIDITY_DRIVERS!$G$26)/52)))*(1+ASSUMPTIONS!$D$49*(1-ASSUMPTIONS!$D$54))+(LIQUIDITY_DRIVERS!$G$69/52*ASSUMPTIONS!$D$41)+(-LIQUIDITY_DRIVERS!$G$69/52)+(-LIQUIDITY_DRIVERS!$G$73*AND(ASSUMPTIONS!$D$38&gt;=13W_FORECAST!I$9,ASSUMPTIONS!$D$38&lt;=13W_FORECAST!I$10))+(-IF(ASSUMPTIONS!$D$40="Month-end",(LIQUIDITY_DRIVERS!$G$74)/12*13W_FORECAST!I$11,(LIQUIDITY_DRIVERS!$G$74)/52))+(ASSUMPTIONS!$D$42/13)</f>
        <v>189.754406153846</v>
      </c>
      <c r="J21" s="66" t="n">
        <f aca="false">((IF(ASSUMPTIONS!$D$17="Month-end",(LIQUIDITY_DRIVERS!$G$11)/12*13W_FORECAST!J$11,(LIQUIDITY_DRIVERS!$G$11)/52))+(-LIQUIDITY_DRIVERS!$G$13*(MIN(ASSUMPTIONS!$D$16,ASSUMPTIONS!$D$7*13W_FORECAST!J$8)-MIN(ASSUMPTIONS!$D$16,ASSUMPTIONS!$D$7*(13W_FORECAST!J$8-1))))+(IF(ASSUMPTIONS!$D$28="Month-end",(LIQUIDITY_DRIVERS!$G$28)/12*13W_FORECAST!J$11,(LIQUIDITY_DRIVERS!$G$28)/52))+(ASSUMPTIONS!$D$29/13))*(1+ASSUMPTIONS!$D$49*(1-ASSUMPTIONS!$D$50))+((-IF(ASSUMPTIONS!$D$20="Month-end",(LIQUIDITY_DRIVERS!$G$24)/12*13W_FORECAST!J$11,(LIQUIDITY_DRIVERS!$G$24)/52))+(-LIQUIDITY_DRIVERS!$G$39*(MIN(ASSUMPTIONS!$D$18,ASSUMPTIONS!$D$7*13W_FORECAST!J$8)-MIN(ASSUMPTIONS!$D$18,ASSUMPTIONS!$D$7*(13W_FORECAST!J$8-1))))+(-LIQUIDITY_DRIVERS!$G$39*(MIN(ASSUMPTIONS!$D$19,ASSUMPTIONS!$D$7*13W_FORECAST!J$8)-MIN(ASSUMPTIONS!$D$19,ASSUMPTIONS!$D$7*(13W_FORECAST!J$8-1))))+(-IF(ASSUMPTIONS!$D$22="Month-end",(LIQUIDITY_DRIVERS!$G$25)/12*13W_FORECAST!J$11,(LIQUIDITY_DRIVERS!$G$25)/52))+(-IF(ASSUMPTIONS!$D$24="Month-end",(LIQUIDITY_DRIVERS!$G$58)/12*13W_FORECAST!J$11,(LIQUIDITY_DRIVERS!$G$58)/52))+(-IF(ASSUMPTIONS!$D$26="Month-end",(LIQUIDITY_DRIVERS!$G$50)/12*13W_FORECAST!J$11,(LIQUIDITY_DRIVERS!$G$50)/52))+(-IF(ASSUMPTIONS!$D$33="Month-end",(LIQUIDITY_DRIVERS!$G$67)/12*13W_FORECAST!J$11,(LIQUIDITY_DRIVERS!$G$67)/52))+(-IF(ASSUMPTIONS!$D$27="Month-end",(LIQUIDITY_DRIVERS!$G$26)/12*13W_FORECAST!J$11,(LIQUIDITY_DRIVERS!$G$26)/52)))*(1+ASSUMPTIONS!$D$49*(1-ASSUMPTIONS!$D$54))+(LIQUIDITY_DRIVERS!$G$69/52*ASSUMPTIONS!$D$41)+(-LIQUIDITY_DRIVERS!$G$69/52)+(-LIQUIDITY_DRIVERS!$G$73*AND(ASSUMPTIONS!$D$38&gt;=13W_FORECAST!J$9,ASSUMPTIONS!$D$38&lt;=13W_FORECAST!J$10))+(-IF(ASSUMPTIONS!$D$40="Month-end",(LIQUIDITY_DRIVERS!$G$74)/12*13W_FORECAST!J$11,(LIQUIDITY_DRIVERS!$G$74)/52))+(ASSUMPTIONS!$D$42/13)</f>
        <v>189.754406153846</v>
      </c>
      <c r="K21" s="66" t="n">
        <f aca="false">((IF(ASSUMPTIONS!$D$17="Month-end",(LIQUIDITY_DRIVERS!$G$11)/12*13W_FORECAST!K$11,(LIQUIDITY_DRIVERS!$G$11)/52))+(-LIQUIDITY_DRIVERS!$G$13*(MIN(ASSUMPTIONS!$D$16,ASSUMPTIONS!$D$7*13W_FORECAST!K$8)-MIN(ASSUMPTIONS!$D$16,ASSUMPTIONS!$D$7*(13W_FORECAST!K$8-1))))+(IF(ASSUMPTIONS!$D$28="Month-end",(LIQUIDITY_DRIVERS!$G$28)/12*13W_FORECAST!K$11,(LIQUIDITY_DRIVERS!$G$28)/52))+(ASSUMPTIONS!$D$29/13))*(1+ASSUMPTIONS!$D$49*(1-ASSUMPTIONS!$D$50))+((-IF(ASSUMPTIONS!$D$20="Month-end",(LIQUIDITY_DRIVERS!$G$24)/12*13W_FORECAST!K$11,(LIQUIDITY_DRIVERS!$G$24)/52))+(-LIQUIDITY_DRIVERS!$G$39*(MIN(ASSUMPTIONS!$D$18,ASSUMPTIONS!$D$7*13W_FORECAST!K$8)-MIN(ASSUMPTIONS!$D$18,ASSUMPTIONS!$D$7*(13W_FORECAST!K$8-1))))+(-LIQUIDITY_DRIVERS!$G$39*(MIN(ASSUMPTIONS!$D$19,ASSUMPTIONS!$D$7*13W_FORECAST!K$8)-MIN(ASSUMPTIONS!$D$19,ASSUMPTIONS!$D$7*(13W_FORECAST!K$8-1))))+(-IF(ASSUMPTIONS!$D$22="Month-end",(LIQUIDITY_DRIVERS!$G$25)/12*13W_FORECAST!K$11,(LIQUIDITY_DRIVERS!$G$25)/52))+(-IF(ASSUMPTIONS!$D$24="Month-end",(LIQUIDITY_DRIVERS!$G$58)/12*13W_FORECAST!K$11,(LIQUIDITY_DRIVERS!$G$58)/52))+(-IF(ASSUMPTIONS!$D$26="Month-end",(LIQUIDITY_DRIVERS!$G$50)/12*13W_FORECAST!K$11,(LIQUIDITY_DRIVERS!$G$50)/52))+(-IF(ASSUMPTIONS!$D$33="Month-end",(LIQUIDITY_DRIVERS!$G$67)/12*13W_FORECAST!K$11,(LIQUIDITY_DRIVERS!$G$67)/52))+(-IF(ASSUMPTIONS!$D$27="Month-end",(LIQUIDITY_DRIVERS!$G$26)/12*13W_FORECAST!K$11,(LIQUIDITY_DRIVERS!$G$26)/52)))*(1+ASSUMPTIONS!$D$49*(1-ASSUMPTIONS!$D$54))+(LIQUIDITY_DRIVERS!$G$69/52*ASSUMPTIONS!$D$41)+(-LIQUIDITY_DRIVERS!$G$69/52)+(-LIQUIDITY_DRIVERS!$G$73*AND(ASSUMPTIONS!$D$38&gt;=13W_FORECAST!K$9,ASSUMPTIONS!$D$38&lt;=13W_FORECAST!K$10))+(-IF(ASSUMPTIONS!$D$40="Month-end",(LIQUIDITY_DRIVERS!$G$74)/12*13W_FORECAST!K$11,(LIQUIDITY_DRIVERS!$G$74)/52))+(ASSUMPTIONS!$D$42/13)</f>
        <v>-532.053927179488</v>
      </c>
      <c r="L21" s="66" t="n">
        <f aca="false">((IF(ASSUMPTIONS!$D$17="Month-end",(LIQUIDITY_DRIVERS!$G$11)/12*13W_FORECAST!L$11,(LIQUIDITY_DRIVERS!$G$11)/52))+(-LIQUIDITY_DRIVERS!$G$13*(MIN(ASSUMPTIONS!$D$16,ASSUMPTIONS!$D$7*13W_FORECAST!L$8)-MIN(ASSUMPTIONS!$D$16,ASSUMPTIONS!$D$7*(13W_FORECAST!L$8-1))))+(IF(ASSUMPTIONS!$D$28="Month-end",(LIQUIDITY_DRIVERS!$G$28)/12*13W_FORECAST!L$11,(LIQUIDITY_DRIVERS!$G$28)/52))+(ASSUMPTIONS!$D$29/13))*(1+ASSUMPTIONS!$D$49*(1-ASSUMPTIONS!$D$50))+((-IF(ASSUMPTIONS!$D$20="Month-end",(LIQUIDITY_DRIVERS!$G$24)/12*13W_FORECAST!L$11,(LIQUIDITY_DRIVERS!$G$24)/52))+(-LIQUIDITY_DRIVERS!$G$39*(MIN(ASSUMPTIONS!$D$18,ASSUMPTIONS!$D$7*13W_FORECAST!L$8)-MIN(ASSUMPTIONS!$D$18,ASSUMPTIONS!$D$7*(13W_FORECAST!L$8-1))))+(-LIQUIDITY_DRIVERS!$G$39*(MIN(ASSUMPTIONS!$D$19,ASSUMPTIONS!$D$7*13W_FORECAST!L$8)-MIN(ASSUMPTIONS!$D$19,ASSUMPTIONS!$D$7*(13W_FORECAST!L$8-1))))+(-IF(ASSUMPTIONS!$D$22="Month-end",(LIQUIDITY_DRIVERS!$G$25)/12*13W_FORECAST!L$11,(LIQUIDITY_DRIVERS!$G$25)/52))+(-IF(ASSUMPTIONS!$D$24="Month-end",(LIQUIDITY_DRIVERS!$G$58)/12*13W_FORECAST!L$11,(LIQUIDITY_DRIVERS!$G$58)/52))+(-IF(ASSUMPTIONS!$D$26="Month-end",(LIQUIDITY_DRIVERS!$G$50)/12*13W_FORECAST!L$11,(LIQUIDITY_DRIVERS!$G$50)/52))+(-IF(ASSUMPTIONS!$D$33="Month-end",(LIQUIDITY_DRIVERS!$G$67)/12*13W_FORECAST!L$11,(LIQUIDITY_DRIVERS!$G$67)/52))+(-IF(ASSUMPTIONS!$D$27="Month-end",(LIQUIDITY_DRIVERS!$G$26)/12*13W_FORECAST!L$11,(LIQUIDITY_DRIVERS!$G$26)/52)))*(1+ASSUMPTIONS!$D$49*(1-ASSUMPTIONS!$D$54))+(LIQUIDITY_DRIVERS!$G$69/52*ASSUMPTIONS!$D$41)+(-LIQUIDITY_DRIVERS!$G$69/52)+(-LIQUIDITY_DRIVERS!$G$73*AND(ASSUMPTIONS!$D$38&gt;=13W_FORECAST!L$9,ASSUMPTIONS!$D$38&lt;=13W_FORECAST!L$10))+(-IF(ASSUMPTIONS!$D$40="Month-end",(LIQUIDITY_DRIVERS!$G$74)/12*13W_FORECAST!L$11,(LIQUIDITY_DRIVERS!$G$74)/52))+(ASSUMPTIONS!$D$42/13)</f>
        <v>189.754406153846</v>
      </c>
      <c r="M21" s="66" t="n">
        <f aca="false">((IF(ASSUMPTIONS!$D$17="Month-end",(LIQUIDITY_DRIVERS!$G$11)/12*13W_FORECAST!M$11,(LIQUIDITY_DRIVERS!$G$11)/52))+(-LIQUIDITY_DRIVERS!$G$13*(MIN(ASSUMPTIONS!$D$16,ASSUMPTIONS!$D$7*13W_FORECAST!M$8)-MIN(ASSUMPTIONS!$D$16,ASSUMPTIONS!$D$7*(13W_FORECAST!M$8-1))))+(IF(ASSUMPTIONS!$D$28="Month-end",(LIQUIDITY_DRIVERS!$G$28)/12*13W_FORECAST!M$11,(LIQUIDITY_DRIVERS!$G$28)/52))+(ASSUMPTIONS!$D$29/13))*(1+ASSUMPTIONS!$D$49*(1-ASSUMPTIONS!$D$50))+((-IF(ASSUMPTIONS!$D$20="Month-end",(LIQUIDITY_DRIVERS!$G$24)/12*13W_FORECAST!M$11,(LIQUIDITY_DRIVERS!$G$24)/52))+(-LIQUIDITY_DRIVERS!$G$39*(MIN(ASSUMPTIONS!$D$18,ASSUMPTIONS!$D$7*13W_FORECAST!M$8)-MIN(ASSUMPTIONS!$D$18,ASSUMPTIONS!$D$7*(13W_FORECAST!M$8-1))))+(-LIQUIDITY_DRIVERS!$G$39*(MIN(ASSUMPTIONS!$D$19,ASSUMPTIONS!$D$7*13W_FORECAST!M$8)-MIN(ASSUMPTIONS!$D$19,ASSUMPTIONS!$D$7*(13W_FORECAST!M$8-1))))+(-IF(ASSUMPTIONS!$D$22="Month-end",(LIQUIDITY_DRIVERS!$G$25)/12*13W_FORECAST!M$11,(LIQUIDITY_DRIVERS!$G$25)/52))+(-IF(ASSUMPTIONS!$D$24="Month-end",(LIQUIDITY_DRIVERS!$G$58)/12*13W_FORECAST!M$11,(LIQUIDITY_DRIVERS!$G$58)/52))+(-IF(ASSUMPTIONS!$D$26="Month-end",(LIQUIDITY_DRIVERS!$G$50)/12*13W_FORECAST!M$11,(LIQUIDITY_DRIVERS!$G$50)/52))+(-IF(ASSUMPTIONS!$D$33="Month-end",(LIQUIDITY_DRIVERS!$G$67)/12*13W_FORECAST!M$11,(LIQUIDITY_DRIVERS!$G$67)/52))+(-IF(ASSUMPTIONS!$D$27="Month-end",(LIQUIDITY_DRIVERS!$G$26)/12*13W_FORECAST!M$11,(LIQUIDITY_DRIVERS!$G$26)/52)))*(1+ASSUMPTIONS!$D$49*(1-ASSUMPTIONS!$D$54))+(LIQUIDITY_DRIVERS!$G$69/52*ASSUMPTIONS!$D$41)+(-LIQUIDITY_DRIVERS!$G$69/52)+(-LIQUIDITY_DRIVERS!$G$73*AND(ASSUMPTIONS!$D$38&gt;=13W_FORECAST!M$9,ASSUMPTIONS!$D$38&lt;=13W_FORECAST!M$10))+(-IF(ASSUMPTIONS!$D$40="Month-end",(LIQUIDITY_DRIVERS!$G$74)/12*13W_FORECAST!M$11,(LIQUIDITY_DRIVERS!$G$74)/52))+(ASSUMPTIONS!$D$42/13)</f>
        <v>189.754406153846</v>
      </c>
      <c r="N21" s="66" t="n">
        <f aca="false">((IF(ASSUMPTIONS!$D$17="Month-end",(LIQUIDITY_DRIVERS!$G$11)/12*13W_FORECAST!N$11,(LIQUIDITY_DRIVERS!$G$11)/52))+(-LIQUIDITY_DRIVERS!$G$13*(MIN(ASSUMPTIONS!$D$16,ASSUMPTIONS!$D$7*13W_FORECAST!N$8)-MIN(ASSUMPTIONS!$D$16,ASSUMPTIONS!$D$7*(13W_FORECAST!N$8-1))))+(IF(ASSUMPTIONS!$D$28="Month-end",(LIQUIDITY_DRIVERS!$G$28)/12*13W_FORECAST!N$11,(LIQUIDITY_DRIVERS!$G$28)/52))+(ASSUMPTIONS!$D$29/13))*(1+ASSUMPTIONS!$D$49*(1-ASSUMPTIONS!$D$50))+((-IF(ASSUMPTIONS!$D$20="Month-end",(LIQUIDITY_DRIVERS!$G$24)/12*13W_FORECAST!N$11,(LIQUIDITY_DRIVERS!$G$24)/52))+(-LIQUIDITY_DRIVERS!$G$39*(MIN(ASSUMPTIONS!$D$18,ASSUMPTIONS!$D$7*13W_FORECAST!N$8)-MIN(ASSUMPTIONS!$D$18,ASSUMPTIONS!$D$7*(13W_FORECAST!N$8-1))))+(-LIQUIDITY_DRIVERS!$G$39*(MIN(ASSUMPTIONS!$D$19,ASSUMPTIONS!$D$7*13W_FORECAST!N$8)-MIN(ASSUMPTIONS!$D$19,ASSUMPTIONS!$D$7*(13W_FORECAST!N$8-1))))+(-IF(ASSUMPTIONS!$D$22="Month-end",(LIQUIDITY_DRIVERS!$G$25)/12*13W_FORECAST!N$11,(LIQUIDITY_DRIVERS!$G$25)/52))+(-IF(ASSUMPTIONS!$D$24="Month-end",(LIQUIDITY_DRIVERS!$G$58)/12*13W_FORECAST!N$11,(LIQUIDITY_DRIVERS!$G$58)/52))+(-IF(ASSUMPTIONS!$D$26="Month-end",(LIQUIDITY_DRIVERS!$G$50)/12*13W_FORECAST!N$11,(LIQUIDITY_DRIVERS!$G$50)/52))+(-IF(ASSUMPTIONS!$D$33="Month-end",(LIQUIDITY_DRIVERS!$G$67)/12*13W_FORECAST!N$11,(LIQUIDITY_DRIVERS!$G$67)/52))+(-IF(ASSUMPTIONS!$D$27="Month-end",(LIQUIDITY_DRIVERS!$G$26)/12*13W_FORECAST!N$11,(LIQUIDITY_DRIVERS!$G$26)/52)))*(1+ASSUMPTIONS!$D$49*(1-ASSUMPTIONS!$D$54))+(LIQUIDITY_DRIVERS!$G$69/52*ASSUMPTIONS!$D$41)+(-LIQUIDITY_DRIVERS!$G$69/52)+(-LIQUIDITY_DRIVERS!$G$73*AND(ASSUMPTIONS!$D$38&gt;=13W_FORECAST!N$9,ASSUMPTIONS!$D$38&lt;=13W_FORECAST!N$10))+(-IF(ASSUMPTIONS!$D$40="Month-end",(LIQUIDITY_DRIVERS!$G$74)/12*13W_FORECAST!N$11,(LIQUIDITY_DRIVERS!$G$74)/52))+(ASSUMPTIONS!$D$42/13)</f>
        <v>189.754406153846</v>
      </c>
      <c r="O21" s="66" t="n">
        <f aca="false">((IF(ASSUMPTIONS!$D$17="Month-end",(LIQUIDITY_DRIVERS!$G$11)/12*13W_FORECAST!O$11,(LIQUIDITY_DRIVERS!$G$11)/52))+(-LIQUIDITY_DRIVERS!$G$13*(MIN(ASSUMPTIONS!$D$16,ASSUMPTIONS!$D$7*13W_FORECAST!O$8)-MIN(ASSUMPTIONS!$D$16,ASSUMPTIONS!$D$7*(13W_FORECAST!O$8-1))))+(IF(ASSUMPTIONS!$D$28="Month-end",(LIQUIDITY_DRIVERS!$G$28)/12*13W_FORECAST!O$11,(LIQUIDITY_DRIVERS!$G$28)/52))+(ASSUMPTIONS!$D$29/13))*(1+ASSUMPTIONS!$D$49*(1-ASSUMPTIONS!$D$50))+((-IF(ASSUMPTIONS!$D$20="Month-end",(LIQUIDITY_DRIVERS!$G$24)/12*13W_FORECAST!O$11,(LIQUIDITY_DRIVERS!$G$24)/52))+(-LIQUIDITY_DRIVERS!$G$39*(MIN(ASSUMPTIONS!$D$18,ASSUMPTIONS!$D$7*13W_FORECAST!O$8)-MIN(ASSUMPTIONS!$D$18,ASSUMPTIONS!$D$7*(13W_FORECAST!O$8-1))))+(-LIQUIDITY_DRIVERS!$G$39*(MIN(ASSUMPTIONS!$D$19,ASSUMPTIONS!$D$7*13W_FORECAST!O$8)-MIN(ASSUMPTIONS!$D$19,ASSUMPTIONS!$D$7*(13W_FORECAST!O$8-1))))+(-IF(ASSUMPTIONS!$D$22="Month-end",(LIQUIDITY_DRIVERS!$G$25)/12*13W_FORECAST!O$11,(LIQUIDITY_DRIVERS!$G$25)/52))+(-IF(ASSUMPTIONS!$D$24="Month-end",(LIQUIDITY_DRIVERS!$G$58)/12*13W_FORECAST!O$11,(LIQUIDITY_DRIVERS!$G$58)/52))+(-IF(ASSUMPTIONS!$D$26="Month-end",(LIQUIDITY_DRIVERS!$G$50)/12*13W_FORECAST!O$11,(LIQUIDITY_DRIVERS!$G$50)/52))+(-IF(ASSUMPTIONS!$D$33="Month-end",(LIQUIDITY_DRIVERS!$G$67)/12*13W_FORECAST!O$11,(LIQUIDITY_DRIVERS!$G$67)/52))+(-IF(ASSUMPTIONS!$D$27="Month-end",(LIQUIDITY_DRIVERS!$G$26)/12*13W_FORECAST!O$11,(LIQUIDITY_DRIVERS!$G$26)/52)))*(1+ASSUMPTIONS!$D$49*(1-ASSUMPTIONS!$D$54))+(LIQUIDITY_DRIVERS!$G$69/52*ASSUMPTIONS!$D$41)+(-LIQUIDITY_DRIVERS!$G$69/52)+(-LIQUIDITY_DRIVERS!$G$73*AND(ASSUMPTIONS!$D$38&gt;=13W_FORECAST!O$9,ASSUMPTIONS!$D$38&lt;=13W_FORECAST!O$10))+(-IF(ASSUMPTIONS!$D$40="Month-end",(LIQUIDITY_DRIVERS!$G$74)/12*13W_FORECAST!O$11,(LIQUIDITY_DRIVERS!$G$74)/52))+(ASSUMPTIONS!$D$42/13)</f>
        <v>-532.053927179488</v>
      </c>
      <c r="P21" s="40"/>
    </row>
    <row r="22" customFormat="false" ht="15" hidden="false" customHeight="false" outlineLevel="0" collapsed="false">
      <c r="A22" s="14" t="s">
        <v>900</v>
      </c>
      <c r="B22" s="66" t="n">
        <f aca="false">MIN(C22:O22)</f>
        <v>1674.98060154549</v>
      </c>
      <c r="C22" s="67" t="n">
        <f aca="false">13W_FORECAST!$C$16+SUM($C$21:C21)</f>
        <v>2605.21508012645</v>
      </c>
      <c r="D22" s="67" t="n">
        <f aca="false">13W_FORECAST!$C$16+SUM($C$21:D21)</f>
        <v>1948.45618765016</v>
      </c>
      <c r="E22" s="67" t="n">
        <f aca="false">13W_FORECAST!$C$16+SUM($C$21:E21)</f>
        <v>2017.28012257113</v>
      </c>
      <c r="F22" s="67" t="n">
        <f aca="false">13W_FORECAST!$C$16+SUM($C$21:F21)</f>
        <v>2207.03452872497</v>
      </c>
      <c r="G22" s="67" t="n">
        <f aca="false">13W_FORECAST!$C$16+SUM($C$21:G21)</f>
        <v>1674.98060154549</v>
      </c>
      <c r="H22" s="67" t="n">
        <f aca="false">13W_FORECAST!$C$16+SUM($C$21:H21)</f>
        <v>1864.73500769933</v>
      </c>
      <c r="I22" s="67" t="n">
        <f aca="false">13W_FORECAST!$C$16+SUM($C$21:I21)</f>
        <v>2054.48941385318</v>
      </c>
      <c r="J22" s="67" t="n">
        <f aca="false">13W_FORECAST!$C$16+SUM($C$21:J21)</f>
        <v>2244.24382000702</v>
      </c>
      <c r="K22" s="67" t="n">
        <f aca="false">13W_FORECAST!$C$16+SUM($C$21:K21)</f>
        <v>1712.18989282754</v>
      </c>
      <c r="L22" s="67" t="n">
        <f aca="false">13W_FORECAST!$C$16+SUM($C$21:L21)</f>
        <v>1901.94429898138</v>
      </c>
      <c r="M22" s="67" t="n">
        <f aca="false">13W_FORECAST!$C$16+SUM($C$21:M21)</f>
        <v>2091.69870513523</v>
      </c>
      <c r="N22" s="67" t="n">
        <f aca="false">13W_FORECAST!$C$16+SUM($C$21:N21)</f>
        <v>2281.45311128907</v>
      </c>
      <c r="O22" s="67" t="n">
        <f aca="false">13W_FORECAST!$C$16+SUM($C$21:O21)</f>
        <v>1749.39918410959</v>
      </c>
      <c r="P22" s="40" t="s">
        <v>896</v>
      </c>
    </row>
    <row r="23" customFormat="false" ht="15" hidden="false" customHeight="false" outlineLevel="0" collapsed="false">
      <c r="A23" s="9" t="s">
        <v>901</v>
      </c>
      <c r="B23" s="66" t="n">
        <f aca="false">MIN(C23:O23)</f>
        <v>4203.80769230769</v>
      </c>
      <c r="C23" s="62" t="n">
        <f aca="false">INDEX(C18:C22,MATCH(13W_FORECAST!$C$4,{"Base","Downside","Severe"},0)*2-1)</f>
        <v>4203.80769230769</v>
      </c>
      <c r="D23" s="62" t="n">
        <f aca="false">INDEX(D18:D22,MATCH(13W_FORECAST!$C$4,{"Base","Downside","Severe"},0)*2-1)</f>
        <v>4466.61538461539</v>
      </c>
      <c r="E23" s="62" t="n">
        <f aca="false">INDEX(E18:E22,MATCH(13W_FORECAST!$C$4,{"Base","Downside","Severe"},0)*2-1)</f>
        <v>4729.42307692308</v>
      </c>
      <c r="F23" s="62" t="n">
        <f aca="false">INDEX(F18:F22,MATCH(13W_FORECAST!$C$4,{"Base","Downside","Severe"},0)*2-1)</f>
        <v>4992.23076923077</v>
      </c>
      <c r="G23" s="62" t="n">
        <f aca="false">INDEX(G18:G22,MATCH(13W_FORECAST!$C$4,{"Base","Downside","Severe"},0)*2-1)</f>
        <v>4474.70512820513</v>
      </c>
      <c r="H23" s="62" t="n">
        <f aca="false">INDEX(H18:H22,MATCH(13W_FORECAST!$C$4,{"Base","Downside","Severe"},0)*2-1)</f>
        <v>4737.51282051282</v>
      </c>
      <c r="I23" s="62" t="n">
        <f aca="false">INDEX(I18:I22,MATCH(13W_FORECAST!$C$4,{"Base","Downside","Severe"},0)*2-1)</f>
        <v>5000.32051282051</v>
      </c>
      <c r="J23" s="62" t="n">
        <f aca="false">INDEX(J18:J22,MATCH(13W_FORECAST!$C$4,{"Base","Downside","Severe"},0)*2-1)</f>
        <v>5263.12820512821</v>
      </c>
      <c r="K23" s="62" t="n">
        <f aca="false">INDEX(K18:K22,MATCH(13W_FORECAST!$C$4,{"Base","Downside","Severe"},0)*2-1)</f>
        <v>4745.60256410256</v>
      </c>
      <c r="L23" s="62" t="n">
        <f aca="false">INDEX(L18:L22,MATCH(13W_FORECAST!$C$4,{"Base","Downside","Severe"},0)*2-1)</f>
        <v>5008.41025641026</v>
      </c>
      <c r="M23" s="62" t="n">
        <f aca="false">INDEX(M18:M22,MATCH(13W_FORECAST!$C$4,{"Base","Downside","Severe"},0)*2-1)</f>
        <v>5271.21794871795</v>
      </c>
      <c r="N23" s="62" t="n">
        <f aca="false">INDEX(N18:N22,MATCH(13W_FORECAST!$C$4,{"Base","Downside","Severe"},0)*2-1)</f>
        <v>5534.02564102564</v>
      </c>
      <c r="O23" s="62" t="n">
        <f aca="false">INDEX(O18:O22,MATCH(13W_FORECAST!$C$4,{"Base","Downside","Severe"},0)*2-1)</f>
        <v>5016.5</v>
      </c>
      <c r="P23" s="40" t="s">
        <v>902</v>
      </c>
    </row>
    <row r="25" customFormat="false" ht="15" hidden="false" customHeight="false" outlineLevel="0" collapsed="false">
      <c r="A25" s="7" t="s">
        <v>903</v>
      </c>
      <c r="B25" s="8"/>
      <c r="C25" s="8"/>
      <c r="D25" s="8"/>
      <c r="E25" s="8"/>
      <c r="F25" s="8"/>
      <c r="G25" s="8"/>
      <c r="H25" s="8"/>
      <c r="I25" s="8"/>
      <c r="J25" s="8"/>
      <c r="K25" s="8"/>
      <c r="L25" s="8"/>
      <c r="M25" s="8"/>
      <c r="N25" s="8"/>
      <c r="O25" s="8"/>
      <c r="P25" s="8"/>
    </row>
    <row r="26" customFormat="false" ht="15" hidden="false" customHeight="false" outlineLevel="0" collapsed="false">
      <c r="A26" s="9" t="s">
        <v>904</v>
      </c>
      <c r="B26" s="66" t="n">
        <f aca="false">MAX(C26:O26)</f>
        <v>3267.10081589041</v>
      </c>
      <c r="C26" s="66" t="n">
        <f aca="false">C18-C22</f>
        <v>1598.59261218124</v>
      </c>
      <c r="D26" s="66" t="n">
        <f aca="false">D18-D22</f>
        <v>2518.15919696523</v>
      </c>
      <c r="E26" s="66" t="n">
        <f aca="false">E18-E22</f>
        <v>2712.14295435195</v>
      </c>
      <c r="F26" s="66" t="n">
        <f aca="false">F18-F22</f>
        <v>2785.1962405058</v>
      </c>
      <c r="G26" s="66" t="n">
        <f aca="false">G18-G22</f>
        <v>2799.72452665964</v>
      </c>
      <c r="H26" s="66" t="n">
        <f aca="false">H18-H22</f>
        <v>2872.77781281349</v>
      </c>
      <c r="I26" s="66" t="n">
        <f aca="false">I18-I22</f>
        <v>2945.83109896733</v>
      </c>
      <c r="J26" s="66" t="n">
        <f aca="false">J18-J22</f>
        <v>3018.88438512118</v>
      </c>
      <c r="K26" s="66" t="n">
        <f aca="false">K18-K22</f>
        <v>3033.41267127503</v>
      </c>
      <c r="L26" s="66" t="n">
        <f aca="false">L18-L22</f>
        <v>3106.46595742887</v>
      </c>
      <c r="M26" s="66" t="n">
        <f aca="false">M18-M22</f>
        <v>3179.51924358272</v>
      </c>
      <c r="N26" s="66" t="n">
        <f aca="false">N18-N22</f>
        <v>3252.57252973657</v>
      </c>
      <c r="O26" s="66" t="n">
        <f aca="false">O18-O22</f>
        <v>3267.10081589041</v>
      </c>
      <c r="P26" s="40" t="s">
        <v>905</v>
      </c>
    </row>
    <row r="28" customFormat="false" ht="15" hidden="false" customHeight="false" outlineLevel="0" collapsed="false">
      <c r="A28" s="7" t="s">
        <v>906</v>
      </c>
      <c r="B28" s="8"/>
      <c r="C28" s="8"/>
      <c r="D28" s="8"/>
      <c r="E28" s="8"/>
      <c r="F28" s="8"/>
      <c r="G28" s="8"/>
      <c r="H28" s="8"/>
      <c r="I28" s="8"/>
      <c r="J28" s="8"/>
      <c r="K28" s="8"/>
      <c r="L28" s="8"/>
      <c r="M28" s="8"/>
      <c r="N28" s="8"/>
      <c r="O28" s="8"/>
      <c r="P28" s="8"/>
    </row>
    <row r="29" customFormat="false" ht="15" hidden="false" customHeight="false" outlineLevel="0" collapsed="false">
      <c r="A29" s="15" t="s">
        <v>522</v>
      </c>
      <c r="B29" s="16"/>
      <c r="C29" s="16" t="s">
        <v>580</v>
      </c>
      <c r="D29" s="16" t="s">
        <v>581</v>
      </c>
      <c r="E29" s="16"/>
      <c r="F29" s="16"/>
      <c r="G29" s="16" t="s">
        <v>45</v>
      </c>
    </row>
    <row r="30" customFormat="false" ht="15" hidden="false" customHeight="false" outlineLevel="0" collapsed="false">
      <c r="A30" s="32" t="s">
        <v>907</v>
      </c>
      <c r="C30" s="79" t="n">
        <f aca="false">(LIQUIDITY_DRIVERS!F11-LIQUIDITY_DRIVERS!E11)*13/52</f>
        <v>0</v>
      </c>
      <c r="D30" s="79" t="n">
        <f aca="false">(LIQUIDITY_DRIVERS!G11-LIQUIDITY_DRIVERS!E11)*13/52</f>
        <v>-631.2875</v>
      </c>
    </row>
    <row r="31" customFormat="false" ht="15" hidden="false" customHeight="false" outlineLevel="0" collapsed="false">
      <c r="A31" s="32" t="s">
        <v>883</v>
      </c>
      <c r="C31" s="79" t="n">
        <f aca="false">-(LIQUIDITY_DRIVERS!F13*MIN(LIQUIDITY_DRIVERS!F40,13*ASSUMPTIONS!$E$7)-LIQUIDITY_DRIVERS!E13*MIN(LIQUIDITY_DRIVERS!E40,13*ASSUMPTIONS!$E$7))</f>
        <v>-968.550684931507</v>
      </c>
      <c r="D31" s="79" t="n">
        <f aca="false">-(LIQUIDITY_DRIVERS!G13*MIN(LIQUIDITY_DRIVERS!G40,13*ASSUMPTIONS!$E$7)-LIQUIDITY_DRIVERS!E13*MIN(LIQUIDITY_DRIVERS!E40,13*ASSUMPTIONS!$E$7))</f>
        <v>-1971.69246575342</v>
      </c>
    </row>
    <row r="32" customFormat="false" ht="15" hidden="false" customHeight="false" outlineLevel="0" collapsed="false">
      <c r="A32" s="32" t="s">
        <v>908</v>
      </c>
      <c r="C32" s="79" t="n">
        <f aca="false">-(LIQUIDITY_DRIVERS!F39*MIN(LIQUIDITY_DRIVERS!F41,13*ASSUMPTIONS!$E$7)-LIQUIDITY_DRIVERS!E39*MIN(LIQUIDITY_DRIVERS!E41,13*ASSUMPTIONS!$E$7))</f>
        <v>-0</v>
      </c>
      <c r="D32" s="79" t="n">
        <f aca="false">-(LIQUIDITY_DRIVERS!G39*MIN(LIQUIDITY_DRIVERS!G41,13*ASSUMPTIONS!$E$7)-LIQUIDITY_DRIVERS!E39*MIN(LIQUIDITY_DRIVERS!E41,13*ASSUMPTIONS!$E$7))</f>
        <v>-367.041095890411</v>
      </c>
    </row>
    <row r="33" customFormat="false" ht="15" hidden="false" customHeight="false" outlineLevel="0" collapsed="false">
      <c r="A33" s="32" t="s">
        <v>909</v>
      </c>
      <c r="C33" s="79" t="n">
        <f aca="false">-(LIQUIDITY_DRIVERS!F39*MIN(LIQUIDITY_DRIVERS!F42,13*ASSUMPTIONS!$E$7)-LIQUIDITY_DRIVERS!E39*MIN(LIQUIDITY_DRIVERS!E42,13*ASSUMPTIONS!$E$7))</f>
        <v>-0</v>
      </c>
      <c r="D33" s="79" t="n">
        <f aca="false">-(LIQUIDITY_DRIVERS!G39*MIN(LIQUIDITY_DRIVERS!G42,13*ASSUMPTIONS!$E$7)-LIQUIDITY_DRIVERS!E39*MIN(LIQUIDITY_DRIVERS!E42,13*ASSUMPTIONS!$E$7))</f>
        <v>-367.041095890411</v>
      </c>
    </row>
    <row r="34" customFormat="false" ht="15" hidden="false" customHeight="false" outlineLevel="0" collapsed="false">
      <c r="A34" s="32" t="s">
        <v>644</v>
      </c>
      <c r="C34" s="79" t="n">
        <f aca="false">-(LIQUIDITY_DRIVERS!F67-LIQUIDITY_DRIVERS!E67)*13/52</f>
        <v>-5.65559999999999</v>
      </c>
      <c r="D34" s="79" t="n">
        <f aca="false">-(LIQUIDITY_DRIVERS!G67-LIQUIDITY_DRIVERS!E67)*13/52</f>
        <v>-22.6224</v>
      </c>
    </row>
    <row r="35" customFormat="false" ht="15" hidden="false" customHeight="false" outlineLevel="0" collapsed="false">
      <c r="A35" s="32" t="s">
        <v>910</v>
      </c>
      <c r="C35" s="86" t="n">
        <f aca="false">(O20-O18)-SUM(C30:C34)</f>
        <v>-47.2496376027391</v>
      </c>
      <c r="D35" s="86" t="n">
        <f aca="false">(O22-O18)-SUM(D30:D34)</f>
        <v>92.5837416438349</v>
      </c>
      <c r="G35" s="5" t="s">
        <v>911</v>
      </c>
    </row>
    <row r="36" customFormat="false" ht="15" hidden="false" customHeight="false" outlineLevel="0" collapsed="false">
      <c r="A36" s="22" t="s">
        <v>912</v>
      </c>
      <c r="C36" s="87" t="n">
        <f aca="false">SUM(C30:C35)</f>
        <v>-1021.45592253425</v>
      </c>
      <c r="D36" s="87" t="n">
        <f aca="false">SUM(D30:D35)</f>
        <v>-3267.10081589041</v>
      </c>
    </row>
    <row r="37" customFormat="false" ht="15" hidden="false" customHeight="false" outlineLevel="0" collapsed="false">
      <c r="A37" s="22" t="s">
        <v>913</v>
      </c>
      <c r="C37" s="22" t="str">
        <f aca="false">IF(MIN(C30:C35)&gt;=0,"None",INDEX($A$30:$A$35,MATCH(MIN(C30:C35),C30:C35,0)))</f>
        <v>Collection delay</v>
      </c>
      <c r="D37" s="22" t="str">
        <f aca="false">IF(MIN(D30:D35)&gt;=0,"None",INDEX($A$30:$A$35,MATCH(MIN(D30:D35),D30:D35,0)))</f>
        <v>Collection delay</v>
      </c>
    </row>
    <row r="39" customFormat="false" ht="15" hidden="false" customHeight="false" outlineLevel="0" collapsed="false">
      <c r="A39" s="7" t="s">
        <v>914</v>
      </c>
      <c r="B39" s="8"/>
      <c r="C39" s="8"/>
      <c r="D39" s="8"/>
      <c r="E39" s="8"/>
      <c r="F39" s="8"/>
      <c r="G39" s="8"/>
      <c r="H39" s="8"/>
      <c r="I39" s="8"/>
      <c r="J39" s="8"/>
      <c r="K39" s="8"/>
      <c r="L39" s="8"/>
      <c r="M39" s="8"/>
      <c r="N39" s="8"/>
      <c r="O39" s="8"/>
      <c r="P39" s="8"/>
    </row>
    <row r="40" customFormat="false" ht="15" hidden="false" customHeight="false" outlineLevel="0" collapsed="false">
      <c r="A40" s="15"/>
      <c r="B40" s="16" t="s">
        <v>915</v>
      </c>
      <c r="C40" s="16" t="s">
        <v>798</v>
      </c>
      <c r="D40" s="16" t="s">
        <v>799</v>
      </c>
      <c r="E40" s="16" t="s">
        <v>800</v>
      </c>
      <c r="F40" s="16" t="s">
        <v>801</v>
      </c>
      <c r="G40" s="16" t="s">
        <v>802</v>
      </c>
      <c r="H40" s="16" t="s">
        <v>803</v>
      </c>
      <c r="I40" s="16" t="s">
        <v>804</v>
      </c>
      <c r="J40" s="16" t="s">
        <v>805</v>
      </c>
      <c r="K40" s="16" t="s">
        <v>806</v>
      </c>
      <c r="L40" s="16" t="s">
        <v>807</v>
      </c>
      <c r="M40" s="16" t="s">
        <v>808</v>
      </c>
      <c r="N40" s="16" t="s">
        <v>809</v>
      </c>
      <c r="O40" s="16" t="s">
        <v>810</v>
      </c>
      <c r="P40" s="16" t="s">
        <v>45</v>
      </c>
    </row>
    <row r="41" customFormat="false" ht="15" hidden="false" customHeight="false" outlineLevel="0" collapsed="false">
      <c r="A41" s="9" t="s">
        <v>916</v>
      </c>
      <c r="B41" s="88" t="n">
        <f aca="false">MIN(C41:O41)</f>
        <v>10.5159621134464</v>
      </c>
      <c r="C41" s="88" t="n">
        <f aca="false">IF((C18-LIQUIDITY_BUFFER!$C$10+LIQUIDITY_DRIVERS!$E$13*(1+ASSUMPTIONS!$B$49*(1-ASSUMPTIONS!$B$50))*MIN(ASSUMPTIONS!$B$16,ASSUMPTIONS!$B$7*13W_FORECAST!C$8))&lt;=0,0,IF((C18-LIQUIDITY_BUFFER!$C$10+LIQUIDITY_DRIVERS!$E$13*(1+ASSUMPTIONS!$B$49*(1-ASSUMPTIONS!$B$50))*MIN(ASSUMPTIONS!$B$16,ASSUMPTIONS!$B$7*13W_FORECAST!C$8))/(LIQUIDITY_DRIVERS!$E$13*(1+ASSUMPTIONS!$B$49*(1-ASSUMPTIONS!$B$50)))&lt;=ASSUMPTIONS!$B$7*13W_FORECAST!C$8,(C18-LIQUIDITY_BUFFER!$C$10+LIQUIDITY_DRIVERS!$E$13*(1+ASSUMPTIONS!$B$49*(1-ASSUMPTIONS!$B$50))*MIN(ASSUMPTIONS!$B$16,ASSUMPTIONS!$B$7*13W_FORECAST!C$8))/(LIQUIDITY_DRIVERS!$E$13*(1+ASSUMPTIONS!$B$49*(1-ASSUMPTIONS!$B$50))),99999))</f>
        <v>99999</v>
      </c>
      <c r="D41" s="88" t="n">
        <f aca="false">IF((D18-LIQUIDITY_BUFFER!$C$10+LIQUIDITY_DRIVERS!$E$13*(1+ASSUMPTIONS!$B$49*(1-ASSUMPTIONS!$B$50))*MIN(ASSUMPTIONS!$B$16,ASSUMPTIONS!$B$7*13W_FORECAST!D$8))&lt;=0,0,IF((D18-LIQUIDITY_BUFFER!$C$10+LIQUIDITY_DRIVERS!$E$13*(1+ASSUMPTIONS!$B$49*(1-ASSUMPTIONS!$B$50))*MIN(ASSUMPTIONS!$B$16,ASSUMPTIONS!$B$7*13W_FORECAST!D$8))/(LIQUIDITY_DRIVERS!$E$13*(1+ASSUMPTIONS!$B$49*(1-ASSUMPTIONS!$B$50)))&lt;=ASSUMPTIONS!$B$7*13W_FORECAST!D$8,(D18-LIQUIDITY_BUFFER!$C$10+LIQUIDITY_DRIVERS!$E$13*(1+ASSUMPTIONS!$B$49*(1-ASSUMPTIONS!$B$50))*MIN(ASSUMPTIONS!$B$16,ASSUMPTIONS!$B$7*13W_FORECAST!D$8))/(LIQUIDITY_DRIVERS!$E$13*(1+ASSUMPTIONS!$B$49*(1-ASSUMPTIONS!$B$50))),99999))</f>
        <v>10.5159621134464</v>
      </c>
      <c r="E41" s="88" t="n">
        <f aca="false">IF((E18-LIQUIDITY_BUFFER!$C$10+LIQUIDITY_DRIVERS!$E$13*(1+ASSUMPTIONS!$B$49*(1-ASSUMPTIONS!$B$50))*MIN(ASSUMPTIONS!$B$16,ASSUMPTIONS!$B$7*13W_FORECAST!E$8))&lt;=0,0,IF((E18-LIQUIDITY_BUFFER!$C$10+LIQUIDITY_DRIVERS!$E$13*(1+ASSUMPTIONS!$B$49*(1-ASSUMPTIONS!$B$50))*MIN(ASSUMPTIONS!$B$16,ASSUMPTIONS!$B$7*13W_FORECAST!E$8))/(LIQUIDITY_DRIVERS!$E$13*(1+ASSUMPTIONS!$B$49*(1-ASSUMPTIONS!$B$50)))&lt;=ASSUMPTIONS!$B$7*13W_FORECAST!E$8,(E18-LIQUIDITY_BUFFER!$C$10+LIQUIDITY_DRIVERS!$E$13*(1+ASSUMPTIONS!$B$49*(1-ASSUMPTIONS!$B$50))*MIN(ASSUMPTIONS!$B$16,ASSUMPTIONS!$B$7*13W_FORECAST!E$8))/(LIQUIDITY_DRIVERS!$E$13*(1+ASSUMPTIONS!$B$49*(1-ASSUMPTIONS!$B$50))),99999))</f>
        <v>12.4153504209194</v>
      </c>
      <c r="F41" s="88" t="n">
        <f aca="false">IF((F18-LIQUIDITY_BUFFER!$C$10+LIQUIDITY_DRIVERS!$E$13*(1+ASSUMPTIONS!$B$49*(1-ASSUMPTIONS!$B$50))*MIN(ASSUMPTIONS!$B$16,ASSUMPTIONS!$B$7*13W_FORECAST!F$8))&lt;=0,0,IF((F18-LIQUIDITY_BUFFER!$C$10+LIQUIDITY_DRIVERS!$E$13*(1+ASSUMPTIONS!$B$49*(1-ASSUMPTIONS!$B$50))*MIN(ASSUMPTIONS!$B$16,ASSUMPTIONS!$B$7*13W_FORECAST!F$8))/(LIQUIDITY_DRIVERS!$E$13*(1+ASSUMPTIONS!$B$49*(1-ASSUMPTIONS!$B$50)))&lt;=ASSUMPTIONS!$B$7*13W_FORECAST!F$8,(F18-LIQUIDITY_BUFFER!$C$10+LIQUIDITY_DRIVERS!$E$13*(1+ASSUMPTIONS!$B$49*(1-ASSUMPTIONS!$B$50))*MIN(ASSUMPTIONS!$B$16,ASSUMPTIONS!$B$7*13W_FORECAST!F$8))/(LIQUIDITY_DRIVERS!$E$13*(1+ASSUMPTIONS!$B$49*(1-ASSUMPTIONS!$B$50))),99999))</f>
        <v>14.3147387283924</v>
      </c>
      <c r="G41" s="88" t="n">
        <f aca="false">IF((G18-LIQUIDITY_BUFFER!$C$10+LIQUIDITY_DRIVERS!$E$13*(1+ASSUMPTIONS!$B$49*(1-ASSUMPTIONS!$B$50))*MIN(ASSUMPTIONS!$B$16,ASSUMPTIONS!$B$7*13W_FORECAST!G$8))&lt;=0,0,IF((G18-LIQUIDITY_BUFFER!$C$10+LIQUIDITY_DRIVERS!$E$13*(1+ASSUMPTIONS!$B$49*(1-ASSUMPTIONS!$B$50))*MIN(ASSUMPTIONS!$B$16,ASSUMPTIONS!$B$7*13W_FORECAST!G$8))/(LIQUIDITY_DRIVERS!$E$13*(1+ASSUMPTIONS!$B$49*(1-ASSUMPTIONS!$B$50)))&lt;=ASSUMPTIONS!$B$7*13W_FORECAST!G$8,(G18-LIQUIDITY_BUFFER!$C$10+LIQUIDITY_DRIVERS!$E$13*(1+ASSUMPTIONS!$B$49*(1-ASSUMPTIONS!$B$50))*MIN(ASSUMPTIONS!$B$16,ASSUMPTIONS!$B$7*13W_FORECAST!G$8))/(LIQUIDITY_DRIVERS!$E$13*(1+ASSUMPTIONS!$B$49*(1-ASSUMPTIONS!$B$50))),99999))</f>
        <v>10.5744290641277</v>
      </c>
      <c r="H41" s="88" t="n">
        <f aca="false">IF((H18-LIQUIDITY_BUFFER!$C$10+LIQUIDITY_DRIVERS!$E$13*(1+ASSUMPTIONS!$B$49*(1-ASSUMPTIONS!$B$50))*MIN(ASSUMPTIONS!$B$16,ASSUMPTIONS!$B$7*13W_FORECAST!H$8))&lt;=0,0,IF((H18-LIQUIDITY_BUFFER!$C$10+LIQUIDITY_DRIVERS!$E$13*(1+ASSUMPTIONS!$B$49*(1-ASSUMPTIONS!$B$50))*MIN(ASSUMPTIONS!$B$16,ASSUMPTIONS!$B$7*13W_FORECAST!H$8))/(LIQUIDITY_DRIVERS!$E$13*(1+ASSUMPTIONS!$B$49*(1-ASSUMPTIONS!$B$50)))&lt;=ASSUMPTIONS!$B$7*13W_FORECAST!H$8,(H18-LIQUIDITY_BUFFER!$C$10+LIQUIDITY_DRIVERS!$E$13*(1+ASSUMPTIONS!$B$49*(1-ASSUMPTIONS!$B$50))*MIN(ASSUMPTIONS!$B$16,ASSUMPTIONS!$B$7*13W_FORECAST!H$8))/(LIQUIDITY_DRIVERS!$E$13*(1+ASSUMPTIONS!$B$49*(1-ASSUMPTIONS!$B$50))),99999))</f>
        <v>12.4738173716007</v>
      </c>
      <c r="I41" s="88" t="n">
        <f aca="false">IF((I18-LIQUIDITY_BUFFER!$C$10+LIQUIDITY_DRIVERS!$E$13*(1+ASSUMPTIONS!$B$49*(1-ASSUMPTIONS!$B$50))*MIN(ASSUMPTIONS!$B$16,ASSUMPTIONS!$B$7*13W_FORECAST!I$8))&lt;=0,0,IF((I18-LIQUIDITY_BUFFER!$C$10+LIQUIDITY_DRIVERS!$E$13*(1+ASSUMPTIONS!$B$49*(1-ASSUMPTIONS!$B$50))*MIN(ASSUMPTIONS!$B$16,ASSUMPTIONS!$B$7*13W_FORECAST!I$8))/(LIQUIDITY_DRIVERS!$E$13*(1+ASSUMPTIONS!$B$49*(1-ASSUMPTIONS!$B$50)))&lt;=ASSUMPTIONS!$B$7*13W_FORECAST!I$8,(I18-LIQUIDITY_BUFFER!$C$10+LIQUIDITY_DRIVERS!$E$13*(1+ASSUMPTIONS!$B$49*(1-ASSUMPTIONS!$B$50))*MIN(ASSUMPTIONS!$B$16,ASSUMPTIONS!$B$7*13W_FORECAST!I$8))/(LIQUIDITY_DRIVERS!$E$13*(1+ASSUMPTIONS!$B$49*(1-ASSUMPTIONS!$B$50))),99999))</f>
        <v>14.3732056790736</v>
      </c>
      <c r="J41" s="88" t="n">
        <f aca="false">IF((J18-LIQUIDITY_BUFFER!$C$10+LIQUIDITY_DRIVERS!$E$13*(1+ASSUMPTIONS!$B$49*(1-ASSUMPTIONS!$B$50))*MIN(ASSUMPTIONS!$B$16,ASSUMPTIONS!$B$7*13W_FORECAST!J$8))&lt;=0,0,IF((J18-LIQUIDITY_BUFFER!$C$10+LIQUIDITY_DRIVERS!$E$13*(1+ASSUMPTIONS!$B$49*(1-ASSUMPTIONS!$B$50))*MIN(ASSUMPTIONS!$B$16,ASSUMPTIONS!$B$7*13W_FORECAST!J$8))/(LIQUIDITY_DRIVERS!$E$13*(1+ASSUMPTIONS!$B$49*(1-ASSUMPTIONS!$B$50)))&lt;=ASSUMPTIONS!$B$7*13W_FORECAST!J$8,(J18-LIQUIDITY_BUFFER!$C$10+LIQUIDITY_DRIVERS!$E$13*(1+ASSUMPTIONS!$B$49*(1-ASSUMPTIONS!$B$50))*MIN(ASSUMPTIONS!$B$16,ASSUMPTIONS!$B$7*13W_FORECAST!J$8))/(LIQUIDITY_DRIVERS!$E$13*(1+ASSUMPTIONS!$B$49*(1-ASSUMPTIONS!$B$50))),99999))</f>
        <v>16.2725939865466</v>
      </c>
      <c r="K41" s="88" t="n">
        <f aca="false">IF((K18-LIQUIDITY_BUFFER!$C$10+LIQUIDITY_DRIVERS!$E$13*(1+ASSUMPTIONS!$B$49*(1-ASSUMPTIONS!$B$50))*MIN(ASSUMPTIONS!$B$16,ASSUMPTIONS!$B$7*13W_FORECAST!K$8))&lt;=0,0,IF((K18-LIQUIDITY_BUFFER!$C$10+LIQUIDITY_DRIVERS!$E$13*(1+ASSUMPTIONS!$B$49*(1-ASSUMPTIONS!$B$50))*MIN(ASSUMPTIONS!$B$16,ASSUMPTIONS!$B$7*13W_FORECAST!K$8))/(LIQUIDITY_DRIVERS!$E$13*(1+ASSUMPTIONS!$B$49*(1-ASSUMPTIONS!$B$50)))&lt;=ASSUMPTIONS!$B$7*13W_FORECAST!K$8,(K18-LIQUIDITY_BUFFER!$C$10+LIQUIDITY_DRIVERS!$E$13*(1+ASSUMPTIONS!$B$49*(1-ASSUMPTIONS!$B$50))*MIN(ASSUMPTIONS!$B$16,ASSUMPTIONS!$B$7*13W_FORECAST!K$8))/(LIQUIDITY_DRIVERS!$E$13*(1+ASSUMPTIONS!$B$49*(1-ASSUMPTIONS!$B$50))),99999))</f>
        <v>12.5322843222819</v>
      </c>
      <c r="L41" s="88" t="n">
        <f aca="false">IF((L18-LIQUIDITY_BUFFER!$C$10+LIQUIDITY_DRIVERS!$E$13*(1+ASSUMPTIONS!$B$49*(1-ASSUMPTIONS!$B$50))*MIN(ASSUMPTIONS!$B$16,ASSUMPTIONS!$B$7*13W_FORECAST!L$8))&lt;=0,0,IF((L18-LIQUIDITY_BUFFER!$C$10+LIQUIDITY_DRIVERS!$E$13*(1+ASSUMPTIONS!$B$49*(1-ASSUMPTIONS!$B$50))*MIN(ASSUMPTIONS!$B$16,ASSUMPTIONS!$B$7*13W_FORECAST!L$8))/(LIQUIDITY_DRIVERS!$E$13*(1+ASSUMPTIONS!$B$49*(1-ASSUMPTIONS!$B$50)))&lt;=ASSUMPTIONS!$B$7*13W_FORECAST!L$8,(L18-LIQUIDITY_BUFFER!$C$10+LIQUIDITY_DRIVERS!$E$13*(1+ASSUMPTIONS!$B$49*(1-ASSUMPTIONS!$B$50))*MIN(ASSUMPTIONS!$B$16,ASSUMPTIONS!$B$7*13W_FORECAST!L$8))/(LIQUIDITY_DRIVERS!$E$13*(1+ASSUMPTIONS!$B$49*(1-ASSUMPTIONS!$B$50))),99999))</f>
        <v>14.4316726297549</v>
      </c>
      <c r="M41" s="88" t="n">
        <f aca="false">IF((M18-LIQUIDITY_BUFFER!$C$10+LIQUIDITY_DRIVERS!$E$13*(1+ASSUMPTIONS!$B$49*(1-ASSUMPTIONS!$B$50))*MIN(ASSUMPTIONS!$B$16,ASSUMPTIONS!$B$7*13W_FORECAST!M$8))&lt;=0,0,IF((M18-LIQUIDITY_BUFFER!$C$10+LIQUIDITY_DRIVERS!$E$13*(1+ASSUMPTIONS!$B$49*(1-ASSUMPTIONS!$B$50))*MIN(ASSUMPTIONS!$B$16,ASSUMPTIONS!$B$7*13W_FORECAST!M$8))/(LIQUIDITY_DRIVERS!$E$13*(1+ASSUMPTIONS!$B$49*(1-ASSUMPTIONS!$B$50)))&lt;=ASSUMPTIONS!$B$7*13W_FORECAST!M$8,(M18-LIQUIDITY_BUFFER!$C$10+LIQUIDITY_DRIVERS!$E$13*(1+ASSUMPTIONS!$B$49*(1-ASSUMPTIONS!$B$50))*MIN(ASSUMPTIONS!$B$16,ASSUMPTIONS!$B$7*13W_FORECAST!M$8))/(LIQUIDITY_DRIVERS!$E$13*(1+ASSUMPTIONS!$B$49*(1-ASSUMPTIONS!$B$50))),99999))</f>
        <v>16.3310609372279</v>
      </c>
      <c r="N41" s="88" t="n">
        <f aca="false">IF((N18-LIQUIDITY_BUFFER!$C$10+LIQUIDITY_DRIVERS!$E$13*(1+ASSUMPTIONS!$B$49*(1-ASSUMPTIONS!$B$50))*MIN(ASSUMPTIONS!$B$16,ASSUMPTIONS!$B$7*13W_FORECAST!N$8))&lt;=0,0,IF((N18-LIQUIDITY_BUFFER!$C$10+LIQUIDITY_DRIVERS!$E$13*(1+ASSUMPTIONS!$B$49*(1-ASSUMPTIONS!$B$50))*MIN(ASSUMPTIONS!$B$16,ASSUMPTIONS!$B$7*13W_FORECAST!N$8))/(LIQUIDITY_DRIVERS!$E$13*(1+ASSUMPTIONS!$B$49*(1-ASSUMPTIONS!$B$50)))&lt;=ASSUMPTIONS!$B$7*13W_FORECAST!N$8,(N18-LIQUIDITY_BUFFER!$C$10+LIQUIDITY_DRIVERS!$E$13*(1+ASSUMPTIONS!$B$49*(1-ASSUMPTIONS!$B$50))*MIN(ASSUMPTIONS!$B$16,ASSUMPTIONS!$B$7*13W_FORECAST!N$8))/(LIQUIDITY_DRIVERS!$E$13*(1+ASSUMPTIONS!$B$49*(1-ASSUMPTIONS!$B$50))),99999))</f>
        <v>18.2304492447009</v>
      </c>
      <c r="O41" s="88" t="n">
        <f aca="false">IF((O18-LIQUIDITY_BUFFER!$C$10+LIQUIDITY_DRIVERS!$E$13*(1+ASSUMPTIONS!$B$49*(1-ASSUMPTIONS!$B$50))*MIN(ASSUMPTIONS!$B$16,ASSUMPTIONS!$B$7*13W_FORECAST!O$8))&lt;=0,0,IF((O18-LIQUIDITY_BUFFER!$C$10+LIQUIDITY_DRIVERS!$E$13*(1+ASSUMPTIONS!$B$49*(1-ASSUMPTIONS!$B$50))*MIN(ASSUMPTIONS!$B$16,ASSUMPTIONS!$B$7*13W_FORECAST!O$8))/(LIQUIDITY_DRIVERS!$E$13*(1+ASSUMPTIONS!$B$49*(1-ASSUMPTIONS!$B$50)))&lt;=ASSUMPTIONS!$B$7*13W_FORECAST!O$8,(O18-LIQUIDITY_BUFFER!$C$10+LIQUIDITY_DRIVERS!$E$13*(1+ASSUMPTIONS!$B$49*(1-ASSUMPTIONS!$B$50))*MIN(ASSUMPTIONS!$B$16,ASSUMPTIONS!$B$7*13W_FORECAST!O$8))/(LIQUIDITY_DRIVERS!$E$13*(1+ASSUMPTIONS!$B$49*(1-ASSUMPTIONS!$B$50))),99999))</f>
        <v>14.4901395804362</v>
      </c>
      <c r="P41" s="40" t="s">
        <v>917</v>
      </c>
    </row>
    <row r="42" customFormat="false" ht="15" hidden="false" customHeight="false" outlineLevel="0" collapsed="false">
      <c r="A42" s="9" t="s">
        <v>918</v>
      </c>
      <c r="B42" s="88" t="n">
        <f aca="false">MIN(C42:O42)</f>
        <v>10.7157685982039</v>
      </c>
      <c r="C42" s="88" t="n">
        <f aca="false">IF((C20-LIQUIDITY_BUFFER!$C$10+LIQUIDITY_DRIVERS!$F$13*(1+ASSUMPTIONS!$C$49*(1-ASSUMPTIONS!$C$50))*MIN(ASSUMPTIONS!$C$16,ASSUMPTIONS!$C$7*13W_FORECAST!C$8))&lt;=0,0,IF((C20-LIQUIDITY_BUFFER!$C$10+LIQUIDITY_DRIVERS!$F$13*(1+ASSUMPTIONS!$C$49*(1-ASSUMPTIONS!$C$50))*MIN(ASSUMPTIONS!$C$16,ASSUMPTIONS!$C$7*13W_FORECAST!C$8))/(LIQUIDITY_DRIVERS!$F$13*(1+ASSUMPTIONS!$C$49*(1-ASSUMPTIONS!$C$50)))&lt;=ASSUMPTIONS!$C$7*13W_FORECAST!C$8,(C20-LIQUIDITY_BUFFER!$C$10+LIQUIDITY_DRIVERS!$F$13*(1+ASSUMPTIONS!$C$49*(1-ASSUMPTIONS!$C$50))*MIN(ASSUMPTIONS!$C$16,ASSUMPTIONS!$C$7*13W_FORECAST!C$8))/(LIQUIDITY_DRIVERS!$F$13*(1+ASSUMPTIONS!$C$49*(1-ASSUMPTIONS!$C$50))),99999))</f>
        <v>99999</v>
      </c>
      <c r="D42" s="88" t="n">
        <f aca="false">IF((D20-LIQUIDITY_BUFFER!$C$10+LIQUIDITY_DRIVERS!$F$13*(1+ASSUMPTIONS!$C$49*(1-ASSUMPTIONS!$C$50))*MIN(ASSUMPTIONS!$C$16,ASSUMPTIONS!$C$7*13W_FORECAST!D$8))&lt;=0,0,IF((D20-LIQUIDITY_BUFFER!$C$10+LIQUIDITY_DRIVERS!$F$13*(1+ASSUMPTIONS!$C$49*(1-ASSUMPTIONS!$C$50))*MIN(ASSUMPTIONS!$C$16,ASSUMPTIONS!$C$7*13W_FORECAST!D$8))/(LIQUIDITY_DRIVERS!$F$13*(1+ASSUMPTIONS!$C$49*(1-ASSUMPTIONS!$C$50)))&lt;=ASSUMPTIONS!$C$7*13W_FORECAST!D$8,(D20-LIQUIDITY_BUFFER!$C$10+LIQUIDITY_DRIVERS!$F$13*(1+ASSUMPTIONS!$C$49*(1-ASSUMPTIONS!$C$50))*MIN(ASSUMPTIONS!$C$16,ASSUMPTIONS!$C$7*13W_FORECAST!D$8))/(LIQUIDITY_DRIVERS!$F$13*(1+ASSUMPTIONS!$C$49*(1-ASSUMPTIONS!$C$50))),99999))</f>
        <v>10.7463022499266</v>
      </c>
      <c r="E42" s="88" t="n">
        <f aca="false">IF((E20-LIQUIDITY_BUFFER!$C$10+LIQUIDITY_DRIVERS!$F$13*(1+ASSUMPTIONS!$C$49*(1-ASSUMPTIONS!$C$50))*MIN(ASSUMPTIONS!$C$16,ASSUMPTIONS!$C$7*13W_FORECAST!E$8))&lt;=0,0,IF((E20-LIQUIDITY_BUFFER!$C$10+LIQUIDITY_DRIVERS!$F$13*(1+ASSUMPTIONS!$C$49*(1-ASSUMPTIONS!$C$50))*MIN(ASSUMPTIONS!$C$16,ASSUMPTIONS!$C$7*13W_FORECAST!E$8))/(LIQUIDITY_DRIVERS!$F$13*(1+ASSUMPTIONS!$C$49*(1-ASSUMPTIONS!$C$50)))&lt;=ASSUMPTIONS!$C$7*13W_FORECAST!E$8,(E20-LIQUIDITY_BUFFER!$C$10+LIQUIDITY_DRIVERS!$F$13*(1+ASSUMPTIONS!$C$49*(1-ASSUMPTIONS!$C$50))*MIN(ASSUMPTIONS!$C$16,ASSUMPTIONS!$C$7*13W_FORECAST!E$8))/(LIQUIDITY_DRIVERS!$F$13*(1+ASSUMPTIONS!$C$49*(1-ASSUMPTIONS!$C$50))),99999))</f>
        <v>12.6209192610876</v>
      </c>
      <c r="F42" s="88" t="n">
        <f aca="false">IF((F20-LIQUIDITY_BUFFER!$C$10+LIQUIDITY_DRIVERS!$F$13*(1+ASSUMPTIONS!$C$49*(1-ASSUMPTIONS!$C$50))*MIN(ASSUMPTIONS!$C$16,ASSUMPTIONS!$C$7*13W_FORECAST!F$8))&lt;=0,0,IF((F20-LIQUIDITY_BUFFER!$C$10+LIQUIDITY_DRIVERS!$F$13*(1+ASSUMPTIONS!$C$49*(1-ASSUMPTIONS!$C$50))*MIN(ASSUMPTIONS!$C$16,ASSUMPTIONS!$C$7*13W_FORECAST!F$8))/(LIQUIDITY_DRIVERS!$F$13*(1+ASSUMPTIONS!$C$49*(1-ASSUMPTIONS!$C$50)))&lt;=ASSUMPTIONS!$C$7*13W_FORECAST!F$8,(F20-LIQUIDITY_BUFFER!$C$10+LIQUIDITY_DRIVERS!$F$13*(1+ASSUMPTIONS!$C$49*(1-ASSUMPTIONS!$C$50))*MIN(ASSUMPTIONS!$C$16,ASSUMPTIONS!$C$7*13W_FORECAST!F$8))/(LIQUIDITY_DRIVERS!$F$13*(1+ASSUMPTIONS!$C$49*(1-ASSUMPTIONS!$C$50))),99999))</f>
        <v>14.4955362722486</v>
      </c>
      <c r="G42" s="88" t="n">
        <f aca="false">IF((G20-LIQUIDITY_BUFFER!$C$10+LIQUIDITY_DRIVERS!$F$13*(1+ASSUMPTIONS!$C$49*(1-ASSUMPTIONS!$C$50))*MIN(ASSUMPTIONS!$C$16,ASSUMPTIONS!$C$7*13W_FORECAST!G$8))&lt;=0,0,IF((G20-LIQUIDITY_BUFFER!$C$10+LIQUIDITY_DRIVERS!$F$13*(1+ASSUMPTIONS!$C$49*(1-ASSUMPTIONS!$C$50))*MIN(ASSUMPTIONS!$C$16,ASSUMPTIONS!$C$7*13W_FORECAST!G$8))/(LIQUIDITY_DRIVERS!$F$13*(1+ASSUMPTIONS!$C$49*(1-ASSUMPTIONS!$C$50)))&lt;=ASSUMPTIONS!$C$7*13W_FORECAST!G$8,(G20-LIQUIDITY_BUFFER!$C$10+LIQUIDITY_DRIVERS!$F$13*(1+ASSUMPTIONS!$C$49*(1-ASSUMPTIONS!$C$50))*MIN(ASSUMPTIONS!$C$16,ASSUMPTIONS!$C$7*13W_FORECAST!G$8))/(LIQUIDITY_DRIVERS!$F$13*(1+ASSUMPTIONS!$C$49*(1-ASSUMPTIONS!$C$50))),99999))</f>
        <v>10.7157685982039</v>
      </c>
      <c r="H42" s="88" t="n">
        <f aca="false">IF((H20-LIQUIDITY_BUFFER!$C$10+LIQUIDITY_DRIVERS!$F$13*(1+ASSUMPTIONS!$C$49*(1-ASSUMPTIONS!$C$50))*MIN(ASSUMPTIONS!$C$16,ASSUMPTIONS!$C$7*13W_FORECAST!H$8))&lt;=0,0,IF((H20-LIQUIDITY_BUFFER!$C$10+LIQUIDITY_DRIVERS!$F$13*(1+ASSUMPTIONS!$C$49*(1-ASSUMPTIONS!$C$50))*MIN(ASSUMPTIONS!$C$16,ASSUMPTIONS!$C$7*13W_FORECAST!H$8))/(LIQUIDITY_DRIVERS!$F$13*(1+ASSUMPTIONS!$C$49*(1-ASSUMPTIONS!$C$50)))&lt;=ASSUMPTIONS!$C$7*13W_FORECAST!H$8,(H20-LIQUIDITY_BUFFER!$C$10+LIQUIDITY_DRIVERS!$F$13*(1+ASSUMPTIONS!$C$49*(1-ASSUMPTIONS!$C$50))*MIN(ASSUMPTIONS!$C$16,ASSUMPTIONS!$C$7*13W_FORECAST!H$8))/(LIQUIDITY_DRIVERS!$F$13*(1+ASSUMPTIONS!$C$49*(1-ASSUMPTIONS!$C$50))),99999))</f>
        <v>12.5903856093649</v>
      </c>
      <c r="I42" s="88" t="n">
        <f aca="false">IF((I20-LIQUIDITY_BUFFER!$C$10+LIQUIDITY_DRIVERS!$F$13*(1+ASSUMPTIONS!$C$49*(1-ASSUMPTIONS!$C$50))*MIN(ASSUMPTIONS!$C$16,ASSUMPTIONS!$C$7*13W_FORECAST!I$8))&lt;=0,0,IF((I20-LIQUIDITY_BUFFER!$C$10+LIQUIDITY_DRIVERS!$F$13*(1+ASSUMPTIONS!$C$49*(1-ASSUMPTIONS!$C$50))*MIN(ASSUMPTIONS!$C$16,ASSUMPTIONS!$C$7*13W_FORECAST!I$8))/(LIQUIDITY_DRIVERS!$F$13*(1+ASSUMPTIONS!$C$49*(1-ASSUMPTIONS!$C$50)))&lt;=ASSUMPTIONS!$C$7*13W_FORECAST!I$8,(I20-LIQUIDITY_BUFFER!$C$10+LIQUIDITY_DRIVERS!$F$13*(1+ASSUMPTIONS!$C$49*(1-ASSUMPTIONS!$C$50))*MIN(ASSUMPTIONS!$C$16,ASSUMPTIONS!$C$7*13W_FORECAST!I$8))/(LIQUIDITY_DRIVERS!$F$13*(1+ASSUMPTIONS!$C$49*(1-ASSUMPTIONS!$C$50))),99999))</f>
        <v>14.4650026205259</v>
      </c>
      <c r="J42" s="88" t="n">
        <f aca="false">IF((J20-LIQUIDITY_BUFFER!$C$10+LIQUIDITY_DRIVERS!$F$13*(1+ASSUMPTIONS!$C$49*(1-ASSUMPTIONS!$C$50))*MIN(ASSUMPTIONS!$C$16,ASSUMPTIONS!$C$7*13W_FORECAST!J$8))&lt;=0,0,IF((J20-LIQUIDITY_BUFFER!$C$10+LIQUIDITY_DRIVERS!$F$13*(1+ASSUMPTIONS!$C$49*(1-ASSUMPTIONS!$C$50))*MIN(ASSUMPTIONS!$C$16,ASSUMPTIONS!$C$7*13W_FORECAST!J$8))/(LIQUIDITY_DRIVERS!$F$13*(1+ASSUMPTIONS!$C$49*(1-ASSUMPTIONS!$C$50)))&lt;=ASSUMPTIONS!$C$7*13W_FORECAST!J$8,(J20-LIQUIDITY_BUFFER!$C$10+LIQUIDITY_DRIVERS!$F$13*(1+ASSUMPTIONS!$C$49*(1-ASSUMPTIONS!$C$50))*MIN(ASSUMPTIONS!$C$16,ASSUMPTIONS!$C$7*13W_FORECAST!J$8))/(LIQUIDITY_DRIVERS!$F$13*(1+ASSUMPTIONS!$C$49*(1-ASSUMPTIONS!$C$50))),99999))</f>
        <v>16.3396196316869</v>
      </c>
      <c r="K42" s="88" t="n">
        <f aca="false">IF((K20-LIQUIDITY_BUFFER!$C$10+LIQUIDITY_DRIVERS!$F$13*(1+ASSUMPTIONS!$C$49*(1-ASSUMPTIONS!$C$50))*MIN(ASSUMPTIONS!$C$16,ASSUMPTIONS!$C$7*13W_FORECAST!K$8))&lt;=0,0,IF((K20-LIQUIDITY_BUFFER!$C$10+LIQUIDITY_DRIVERS!$F$13*(1+ASSUMPTIONS!$C$49*(1-ASSUMPTIONS!$C$50))*MIN(ASSUMPTIONS!$C$16,ASSUMPTIONS!$C$7*13W_FORECAST!K$8))/(LIQUIDITY_DRIVERS!$F$13*(1+ASSUMPTIONS!$C$49*(1-ASSUMPTIONS!$C$50)))&lt;=ASSUMPTIONS!$C$7*13W_FORECAST!K$8,(K20-LIQUIDITY_BUFFER!$C$10+LIQUIDITY_DRIVERS!$F$13*(1+ASSUMPTIONS!$C$49*(1-ASSUMPTIONS!$C$50))*MIN(ASSUMPTIONS!$C$16,ASSUMPTIONS!$C$7*13W_FORECAST!K$8))/(LIQUIDITY_DRIVERS!$F$13*(1+ASSUMPTIONS!$C$49*(1-ASSUMPTIONS!$C$50))),99999))</f>
        <v>12.5598519576421</v>
      </c>
      <c r="L42" s="88" t="n">
        <f aca="false">IF((L20-LIQUIDITY_BUFFER!$C$10+LIQUIDITY_DRIVERS!$F$13*(1+ASSUMPTIONS!$C$49*(1-ASSUMPTIONS!$C$50))*MIN(ASSUMPTIONS!$C$16,ASSUMPTIONS!$C$7*13W_FORECAST!L$8))&lt;=0,0,IF((L20-LIQUIDITY_BUFFER!$C$10+LIQUIDITY_DRIVERS!$F$13*(1+ASSUMPTIONS!$C$49*(1-ASSUMPTIONS!$C$50))*MIN(ASSUMPTIONS!$C$16,ASSUMPTIONS!$C$7*13W_FORECAST!L$8))/(LIQUIDITY_DRIVERS!$F$13*(1+ASSUMPTIONS!$C$49*(1-ASSUMPTIONS!$C$50)))&lt;=ASSUMPTIONS!$C$7*13W_FORECAST!L$8,(L20-LIQUIDITY_BUFFER!$C$10+LIQUIDITY_DRIVERS!$F$13*(1+ASSUMPTIONS!$C$49*(1-ASSUMPTIONS!$C$50))*MIN(ASSUMPTIONS!$C$16,ASSUMPTIONS!$C$7*13W_FORECAST!L$8))/(LIQUIDITY_DRIVERS!$F$13*(1+ASSUMPTIONS!$C$49*(1-ASSUMPTIONS!$C$50))),99999))</f>
        <v>14.4344689688031</v>
      </c>
      <c r="M42" s="88" t="n">
        <f aca="false">IF((M20-LIQUIDITY_BUFFER!$C$10+LIQUIDITY_DRIVERS!$F$13*(1+ASSUMPTIONS!$C$49*(1-ASSUMPTIONS!$C$50))*MIN(ASSUMPTIONS!$C$16,ASSUMPTIONS!$C$7*13W_FORECAST!M$8))&lt;=0,0,IF((M20-LIQUIDITY_BUFFER!$C$10+LIQUIDITY_DRIVERS!$F$13*(1+ASSUMPTIONS!$C$49*(1-ASSUMPTIONS!$C$50))*MIN(ASSUMPTIONS!$C$16,ASSUMPTIONS!$C$7*13W_FORECAST!M$8))/(LIQUIDITY_DRIVERS!$F$13*(1+ASSUMPTIONS!$C$49*(1-ASSUMPTIONS!$C$50)))&lt;=ASSUMPTIONS!$C$7*13W_FORECAST!M$8,(M20-LIQUIDITY_BUFFER!$C$10+LIQUIDITY_DRIVERS!$F$13*(1+ASSUMPTIONS!$C$49*(1-ASSUMPTIONS!$C$50))*MIN(ASSUMPTIONS!$C$16,ASSUMPTIONS!$C$7*13W_FORECAST!M$8))/(LIQUIDITY_DRIVERS!$F$13*(1+ASSUMPTIONS!$C$49*(1-ASSUMPTIONS!$C$50))),99999))</f>
        <v>16.3090859799641</v>
      </c>
      <c r="N42" s="88" t="n">
        <f aca="false">IF((N20-LIQUIDITY_BUFFER!$C$10+LIQUIDITY_DRIVERS!$F$13*(1+ASSUMPTIONS!$C$49*(1-ASSUMPTIONS!$C$50))*MIN(ASSUMPTIONS!$C$16,ASSUMPTIONS!$C$7*13W_FORECAST!N$8))&lt;=0,0,IF((N20-LIQUIDITY_BUFFER!$C$10+LIQUIDITY_DRIVERS!$F$13*(1+ASSUMPTIONS!$C$49*(1-ASSUMPTIONS!$C$50))*MIN(ASSUMPTIONS!$C$16,ASSUMPTIONS!$C$7*13W_FORECAST!N$8))/(LIQUIDITY_DRIVERS!$F$13*(1+ASSUMPTIONS!$C$49*(1-ASSUMPTIONS!$C$50)))&lt;=ASSUMPTIONS!$C$7*13W_FORECAST!N$8,(N20-LIQUIDITY_BUFFER!$C$10+LIQUIDITY_DRIVERS!$F$13*(1+ASSUMPTIONS!$C$49*(1-ASSUMPTIONS!$C$50))*MIN(ASSUMPTIONS!$C$16,ASSUMPTIONS!$C$7*13W_FORECAST!N$8))/(LIQUIDITY_DRIVERS!$F$13*(1+ASSUMPTIONS!$C$49*(1-ASSUMPTIONS!$C$50))),99999))</f>
        <v>18.1837029911251</v>
      </c>
      <c r="O42" s="88" t="n">
        <f aca="false">IF((O20-LIQUIDITY_BUFFER!$C$10+LIQUIDITY_DRIVERS!$F$13*(1+ASSUMPTIONS!$C$49*(1-ASSUMPTIONS!$C$50))*MIN(ASSUMPTIONS!$C$16,ASSUMPTIONS!$C$7*13W_FORECAST!O$8))&lt;=0,0,IF((O20-LIQUIDITY_BUFFER!$C$10+LIQUIDITY_DRIVERS!$F$13*(1+ASSUMPTIONS!$C$49*(1-ASSUMPTIONS!$C$50))*MIN(ASSUMPTIONS!$C$16,ASSUMPTIONS!$C$7*13W_FORECAST!O$8))/(LIQUIDITY_DRIVERS!$F$13*(1+ASSUMPTIONS!$C$49*(1-ASSUMPTIONS!$C$50)))&lt;=ASSUMPTIONS!$C$7*13W_FORECAST!O$8,(O20-LIQUIDITY_BUFFER!$C$10+LIQUIDITY_DRIVERS!$F$13*(1+ASSUMPTIONS!$C$49*(1-ASSUMPTIONS!$C$50))*MIN(ASSUMPTIONS!$C$16,ASSUMPTIONS!$C$7*13W_FORECAST!O$8))/(LIQUIDITY_DRIVERS!$F$13*(1+ASSUMPTIONS!$C$49*(1-ASSUMPTIONS!$C$50))),99999))</f>
        <v>14.4039353170804</v>
      </c>
      <c r="P42" s="40" t="s">
        <v>917</v>
      </c>
    </row>
    <row r="43" customFormat="false" ht="15" hidden="false" customHeight="false" outlineLevel="0" collapsed="false">
      <c r="A43" s="9" t="s">
        <v>919</v>
      </c>
      <c r="B43" s="88" t="n">
        <f aca="false">MIN(C43:O43)</f>
        <v>3.63967497222615</v>
      </c>
      <c r="C43" s="88" t="n">
        <f aca="false">IF((C22-LIQUIDITY_BUFFER!$C$10+LIQUIDITY_DRIVERS!$G$13*(1+ASSUMPTIONS!$D$49*(1-ASSUMPTIONS!$D$50))*MIN(ASSUMPTIONS!$D$16,ASSUMPTIONS!$D$7*13W_FORECAST!C$8))&lt;=0,0,IF((C22-LIQUIDITY_BUFFER!$C$10+LIQUIDITY_DRIVERS!$G$13*(1+ASSUMPTIONS!$D$49*(1-ASSUMPTIONS!$D$50))*MIN(ASSUMPTIONS!$D$16,ASSUMPTIONS!$D$7*13W_FORECAST!C$8))/(LIQUIDITY_DRIVERS!$G$13*(1+ASSUMPTIONS!$D$49*(1-ASSUMPTIONS!$D$50)))&lt;=ASSUMPTIONS!$D$7*13W_FORECAST!C$8,(C22-LIQUIDITY_BUFFER!$C$10+LIQUIDITY_DRIVERS!$G$13*(1+ASSUMPTIONS!$D$49*(1-ASSUMPTIONS!$D$50))*MIN(ASSUMPTIONS!$D$16,ASSUMPTIONS!$D$7*13W_FORECAST!C$8))/(LIQUIDITY_DRIVERS!$G$13*(1+ASSUMPTIONS!$D$49*(1-ASSUMPTIONS!$D$50))),99999))</f>
        <v>3.63967497222615</v>
      </c>
      <c r="D43" s="88" t="n">
        <f aca="false">IF((D22-LIQUIDITY_BUFFER!$C$10+LIQUIDITY_DRIVERS!$G$13*(1+ASSUMPTIONS!$D$49*(1-ASSUMPTIONS!$D$50))*MIN(ASSUMPTIONS!$D$16,ASSUMPTIONS!$D$7*13W_FORECAST!D$8))&lt;=0,0,IF((D22-LIQUIDITY_BUFFER!$C$10+LIQUIDITY_DRIVERS!$G$13*(1+ASSUMPTIONS!$D$49*(1-ASSUMPTIONS!$D$50))*MIN(ASSUMPTIONS!$D$16,ASSUMPTIONS!$D$7*13W_FORECAST!D$8))/(LIQUIDITY_DRIVERS!$G$13*(1+ASSUMPTIONS!$D$49*(1-ASSUMPTIONS!$D$50)))&lt;=ASSUMPTIONS!$D$7*13W_FORECAST!D$8,(D22-LIQUIDITY_BUFFER!$C$10+LIQUIDITY_DRIVERS!$G$13*(1+ASSUMPTIONS!$D$49*(1-ASSUMPTIONS!$D$50))*MIN(ASSUMPTIONS!$D$16,ASSUMPTIONS!$D$7*13W_FORECAST!D$8))/(LIQUIDITY_DRIVERS!$G$13*(1+ASSUMPTIONS!$D$49*(1-ASSUMPTIONS!$D$50))),99999))</f>
        <v>5.20879484928704</v>
      </c>
      <c r="E43" s="88" t="n">
        <f aca="false">IF((E22-LIQUIDITY_BUFFER!$C$10+LIQUIDITY_DRIVERS!$G$13*(1+ASSUMPTIONS!$D$49*(1-ASSUMPTIONS!$D$50))*MIN(ASSUMPTIONS!$D$16,ASSUMPTIONS!$D$7*13W_FORECAST!E$8))&lt;=0,0,IF((E22-LIQUIDITY_BUFFER!$C$10+LIQUIDITY_DRIVERS!$G$13*(1+ASSUMPTIONS!$D$49*(1-ASSUMPTIONS!$D$50))*MIN(ASSUMPTIONS!$D$16,ASSUMPTIONS!$D$7*13W_FORECAST!E$8))/(LIQUIDITY_DRIVERS!$G$13*(1+ASSUMPTIONS!$D$49*(1-ASSUMPTIONS!$D$50)))&lt;=ASSUMPTIONS!$D$7*13W_FORECAST!E$8,(E22-LIQUIDITY_BUFFER!$C$10+LIQUIDITY_DRIVERS!$G$13*(1+ASSUMPTIONS!$D$49*(1-ASSUMPTIONS!$D$50))*MIN(ASSUMPTIONS!$D$16,ASSUMPTIONS!$D$7*13W_FORECAST!E$8))/(LIQUIDITY_DRIVERS!$G$13*(1+ASSUMPTIONS!$D$49*(1-ASSUMPTIONS!$D$50))),99999))</f>
        <v>6.77791472634792</v>
      </c>
      <c r="F43" s="88" t="n">
        <f aca="false">IF((F22-LIQUIDITY_BUFFER!$C$10+LIQUIDITY_DRIVERS!$G$13*(1+ASSUMPTIONS!$D$49*(1-ASSUMPTIONS!$D$50))*MIN(ASSUMPTIONS!$D$16,ASSUMPTIONS!$D$7*13W_FORECAST!F$8))&lt;=0,0,IF((F22-LIQUIDITY_BUFFER!$C$10+LIQUIDITY_DRIVERS!$G$13*(1+ASSUMPTIONS!$D$49*(1-ASSUMPTIONS!$D$50))*MIN(ASSUMPTIONS!$D$16,ASSUMPTIONS!$D$7*13W_FORECAST!F$8))/(LIQUIDITY_DRIVERS!$G$13*(1+ASSUMPTIONS!$D$49*(1-ASSUMPTIONS!$D$50)))&lt;=ASSUMPTIONS!$D$7*13W_FORECAST!F$8,(F22-LIQUIDITY_BUFFER!$C$10+LIQUIDITY_DRIVERS!$G$13*(1+ASSUMPTIONS!$D$49*(1-ASSUMPTIONS!$D$50))*MIN(ASSUMPTIONS!$D$16,ASSUMPTIONS!$D$7*13W_FORECAST!F$8))/(LIQUIDITY_DRIVERS!$G$13*(1+ASSUMPTIONS!$D$49*(1-ASSUMPTIONS!$D$50))),99999))</f>
        <v>8.34703460340881</v>
      </c>
      <c r="G43" s="88" t="n">
        <f aca="false">IF((G22-LIQUIDITY_BUFFER!$C$10+LIQUIDITY_DRIVERS!$G$13*(1+ASSUMPTIONS!$D$49*(1-ASSUMPTIONS!$D$50))*MIN(ASSUMPTIONS!$D$16,ASSUMPTIONS!$D$7*13W_FORECAST!G$8))&lt;=0,0,IF((G22-LIQUIDITY_BUFFER!$C$10+LIQUIDITY_DRIVERS!$G$13*(1+ASSUMPTIONS!$D$49*(1-ASSUMPTIONS!$D$50))*MIN(ASSUMPTIONS!$D$16,ASSUMPTIONS!$D$7*13W_FORECAST!G$8))/(LIQUIDITY_DRIVERS!$G$13*(1+ASSUMPTIONS!$D$49*(1-ASSUMPTIONS!$D$50)))&lt;=ASSUMPTIONS!$D$7*13W_FORECAST!G$8,(G22-LIQUIDITY_BUFFER!$C$10+LIQUIDITY_DRIVERS!$G$13*(1+ASSUMPTIONS!$D$49*(1-ASSUMPTIONS!$D$50))*MIN(ASSUMPTIONS!$D$16,ASSUMPTIONS!$D$7*13W_FORECAST!G$8))/(LIQUIDITY_DRIVERS!$G$13*(1+ASSUMPTIONS!$D$49*(1-ASSUMPTIONS!$D$50))),99999))</f>
        <v>3.94736658131942</v>
      </c>
      <c r="H43" s="88" t="n">
        <f aca="false">IF((H22-LIQUIDITY_BUFFER!$C$10+LIQUIDITY_DRIVERS!$G$13*(1+ASSUMPTIONS!$D$49*(1-ASSUMPTIONS!$D$50))*MIN(ASSUMPTIONS!$D$16,ASSUMPTIONS!$D$7*13W_FORECAST!H$8))&lt;=0,0,IF((H22-LIQUIDITY_BUFFER!$C$10+LIQUIDITY_DRIVERS!$G$13*(1+ASSUMPTIONS!$D$49*(1-ASSUMPTIONS!$D$50))*MIN(ASSUMPTIONS!$D$16,ASSUMPTIONS!$D$7*13W_FORECAST!H$8))/(LIQUIDITY_DRIVERS!$G$13*(1+ASSUMPTIONS!$D$49*(1-ASSUMPTIONS!$D$50)))&lt;=ASSUMPTIONS!$D$7*13W_FORECAST!H$8,(H22-LIQUIDITY_BUFFER!$C$10+LIQUIDITY_DRIVERS!$G$13*(1+ASSUMPTIONS!$D$49*(1-ASSUMPTIONS!$D$50))*MIN(ASSUMPTIONS!$D$16,ASSUMPTIONS!$D$7*13W_FORECAST!H$8))/(LIQUIDITY_DRIVERS!$G$13*(1+ASSUMPTIONS!$D$49*(1-ASSUMPTIONS!$D$50))),99999))</f>
        <v>5.5164864583803</v>
      </c>
      <c r="I43" s="88" t="n">
        <f aca="false">IF((I22-LIQUIDITY_BUFFER!$C$10+LIQUIDITY_DRIVERS!$G$13*(1+ASSUMPTIONS!$D$49*(1-ASSUMPTIONS!$D$50))*MIN(ASSUMPTIONS!$D$16,ASSUMPTIONS!$D$7*13W_FORECAST!I$8))&lt;=0,0,IF((I22-LIQUIDITY_BUFFER!$C$10+LIQUIDITY_DRIVERS!$G$13*(1+ASSUMPTIONS!$D$49*(1-ASSUMPTIONS!$D$50))*MIN(ASSUMPTIONS!$D$16,ASSUMPTIONS!$D$7*13W_FORECAST!I$8))/(LIQUIDITY_DRIVERS!$G$13*(1+ASSUMPTIONS!$D$49*(1-ASSUMPTIONS!$D$50)))&lt;=ASSUMPTIONS!$D$7*13W_FORECAST!I$8,(I22-LIQUIDITY_BUFFER!$C$10+LIQUIDITY_DRIVERS!$G$13*(1+ASSUMPTIONS!$D$49*(1-ASSUMPTIONS!$D$50))*MIN(ASSUMPTIONS!$D$16,ASSUMPTIONS!$D$7*13W_FORECAST!I$8))/(LIQUIDITY_DRIVERS!$G$13*(1+ASSUMPTIONS!$D$49*(1-ASSUMPTIONS!$D$50))),99999))</f>
        <v>7.08560633544119</v>
      </c>
      <c r="J43" s="88" t="n">
        <f aca="false">IF((J22-LIQUIDITY_BUFFER!$C$10+LIQUIDITY_DRIVERS!$G$13*(1+ASSUMPTIONS!$D$49*(1-ASSUMPTIONS!$D$50))*MIN(ASSUMPTIONS!$D$16,ASSUMPTIONS!$D$7*13W_FORECAST!J$8))&lt;=0,0,IF((J22-LIQUIDITY_BUFFER!$C$10+LIQUIDITY_DRIVERS!$G$13*(1+ASSUMPTIONS!$D$49*(1-ASSUMPTIONS!$D$50))*MIN(ASSUMPTIONS!$D$16,ASSUMPTIONS!$D$7*13W_FORECAST!J$8))/(LIQUIDITY_DRIVERS!$G$13*(1+ASSUMPTIONS!$D$49*(1-ASSUMPTIONS!$D$50)))&lt;=ASSUMPTIONS!$D$7*13W_FORECAST!J$8,(J22-LIQUIDITY_BUFFER!$C$10+LIQUIDITY_DRIVERS!$G$13*(1+ASSUMPTIONS!$D$49*(1-ASSUMPTIONS!$D$50))*MIN(ASSUMPTIONS!$D$16,ASSUMPTIONS!$D$7*13W_FORECAST!J$8))/(LIQUIDITY_DRIVERS!$G$13*(1+ASSUMPTIONS!$D$49*(1-ASSUMPTIONS!$D$50))),99999))</f>
        <v>8.65472621250207</v>
      </c>
      <c r="K43" s="88" t="n">
        <f aca="false">IF((K22-LIQUIDITY_BUFFER!$C$10+LIQUIDITY_DRIVERS!$G$13*(1+ASSUMPTIONS!$D$49*(1-ASSUMPTIONS!$D$50))*MIN(ASSUMPTIONS!$D$16,ASSUMPTIONS!$D$7*13W_FORECAST!K$8))&lt;=0,0,IF((K22-LIQUIDITY_BUFFER!$C$10+LIQUIDITY_DRIVERS!$G$13*(1+ASSUMPTIONS!$D$49*(1-ASSUMPTIONS!$D$50))*MIN(ASSUMPTIONS!$D$16,ASSUMPTIONS!$D$7*13W_FORECAST!K$8))/(LIQUIDITY_DRIVERS!$G$13*(1+ASSUMPTIONS!$D$49*(1-ASSUMPTIONS!$D$50)))&lt;=ASSUMPTIONS!$D$7*13W_FORECAST!K$8,(K22-LIQUIDITY_BUFFER!$C$10+LIQUIDITY_DRIVERS!$G$13*(1+ASSUMPTIONS!$D$49*(1-ASSUMPTIONS!$D$50))*MIN(ASSUMPTIONS!$D$16,ASSUMPTIONS!$D$7*13W_FORECAST!K$8))/(LIQUIDITY_DRIVERS!$G$13*(1+ASSUMPTIONS!$D$49*(1-ASSUMPTIONS!$D$50))),99999))</f>
        <v>4.25505819041269</v>
      </c>
      <c r="L43" s="88" t="n">
        <f aca="false">IF((L22-LIQUIDITY_BUFFER!$C$10+LIQUIDITY_DRIVERS!$G$13*(1+ASSUMPTIONS!$D$49*(1-ASSUMPTIONS!$D$50))*MIN(ASSUMPTIONS!$D$16,ASSUMPTIONS!$D$7*13W_FORECAST!L$8))&lt;=0,0,IF((L22-LIQUIDITY_BUFFER!$C$10+LIQUIDITY_DRIVERS!$G$13*(1+ASSUMPTIONS!$D$49*(1-ASSUMPTIONS!$D$50))*MIN(ASSUMPTIONS!$D$16,ASSUMPTIONS!$D$7*13W_FORECAST!L$8))/(LIQUIDITY_DRIVERS!$G$13*(1+ASSUMPTIONS!$D$49*(1-ASSUMPTIONS!$D$50)))&lt;=ASSUMPTIONS!$D$7*13W_FORECAST!L$8,(L22-LIQUIDITY_BUFFER!$C$10+LIQUIDITY_DRIVERS!$G$13*(1+ASSUMPTIONS!$D$49*(1-ASSUMPTIONS!$D$50))*MIN(ASSUMPTIONS!$D$16,ASSUMPTIONS!$D$7*13W_FORECAST!L$8))/(LIQUIDITY_DRIVERS!$G$13*(1+ASSUMPTIONS!$D$49*(1-ASSUMPTIONS!$D$50))),99999))</f>
        <v>5.82417806747357</v>
      </c>
      <c r="M43" s="88" t="n">
        <f aca="false">IF((M22-LIQUIDITY_BUFFER!$C$10+LIQUIDITY_DRIVERS!$G$13*(1+ASSUMPTIONS!$D$49*(1-ASSUMPTIONS!$D$50))*MIN(ASSUMPTIONS!$D$16,ASSUMPTIONS!$D$7*13W_FORECAST!M$8))&lt;=0,0,IF((M22-LIQUIDITY_BUFFER!$C$10+LIQUIDITY_DRIVERS!$G$13*(1+ASSUMPTIONS!$D$49*(1-ASSUMPTIONS!$D$50))*MIN(ASSUMPTIONS!$D$16,ASSUMPTIONS!$D$7*13W_FORECAST!M$8))/(LIQUIDITY_DRIVERS!$G$13*(1+ASSUMPTIONS!$D$49*(1-ASSUMPTIONS!$D$50)))&lt;=ASSUMPTIONS!$D$7*13W_FORECAST!M$8,(M22-LIQUIDITY_BUFFER!$C$10+LIQUIDITY_DRIVERS!$G$13*(1+ASSUMPTIONS!$D$49*(1-ASSUMPTIONS!$D$50))*MIN(ASSUMPTIONS!$D$16,ASSUMPTIONS!$D$7*13W_FORECAST!M$8))/(LIQUIDITY_DRIVERS!$G$13*(1+ASSUMPTIONS!$D$49*(1-ASSUMPTIONS!$D$50))),99999))</f>
        <v>7.39329794453445</v>
      </c>
      <c r="N43" s="88" t="n">
        <f aca="false">IF((N22-LIQUIDITY_BUFFER!$C$10+LIQUIDITY_DRIVERS!$G$13*(1+ASSUMPTIONS!$D$49*(1-ASSUMPTIONS!$D$50))*MIN(ASSUMPTIONS!$D$16,ASSUMPTIONS!$D$7*13W_FORECAST!N$8))&lt;=0,0,IF((N22-LIQUIDITY_BUFFER!$C$10+LIQUIDITY_DRIVERS!$G$13*(1+ASSUMPTIONS!$D$49*(1-ASSUMPTIONS!$D$50))*MIN(ASSUMPTIONS!$D$16,ASSUMPTIONS!$D$7*13W_FORECAST!N$8))/(LIQUIDITY_DRIVERS!$G$13*(1+ASSUMPTIONS!$D$49*(1-ASSUMPTIONS!$D$50)))&lt;=ASSUMPTIONS!$D$7*13W_FORECAST!N$8,(N22-LIQUIDITY_BUFFER!$C$10+LIQUIDITY_DRIVERS!$G$13*(1+ASSUMPTIONS!$D$49*(1-ASSUMPTIONS!$D$50))*MIN(ASSUMPTIONS!$D$16,ASSUMPTIONS!$D$7*13W_FORECAST!N$8))/(LIQUIDITY_DRIVERS!$G$13*(1+ASSUMPTIONS!$D$49*(1-ASSUMPTIONS!$D$50))),99999))</f>
        <v>8.96241782159533</v>
      </c>
      <c r="O43" s="88" t="n">
        <f aca="false">IF((O22-LIQUIDITY_BUFFER!$C$10+LIQUIDITY_DRIVERS!$G$13*(1+ASSUMPTIONS!$D$49*(1-ASSUMPTIONS!$D$50))*MIN(ASSUMPTIONS!$D$16,ASSUMPTIONS!$D$7*13W_FORECAST!O$8))&lt;=0,0,IF((O22-LIQUIDITY_BUFFER!$C$10+LIQUIDITY_DRIVERS!$G$13*(1+ASSUMPTIONS!$D$49*(1-ASSUMPTIONS!$D$50))*MIN(ASSUMPTIONS!$D$16,ASSUMPTIONS!$D$7*13W_FORECAST!O$8))/(LIQUIDITY_DRIVERS!$G$13*(1+ASSUMPTIONS!$D$49*(1-ASSUMPTIONS!$D$50)))&lt;=ASSUMPTIONS!$D$7*13W_FORECAST!O$8,(O22-LIQUIDITY_BUFFER!$C$10+LIQUIDITY_DRIVERS!$G$13*(1+ASSUMPTIONS!$D$49*(1-ASSUMPTIONS!$D$50))*MIN(ASSUMPTIONS!$D$16,ASSUMPTIONS!$D$7*13W_FORECAST!O$8))/(LIQUIDITY_DRIVERS!$G$13*(1+ASSUMPTIONS!$D$49*(1-ASSUMPTIONS!$D$50))),99999))</f>
        <v>4.56274979950595</v>
      </c>
      <c r="P43" s="40" t="s">
        <v>917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2"/>
    <col collapsed="false" customWidth="true" hidden="false" outlineLevel="0" max="15" min="3" style="0" width="10.51"/>
    <col collapsed="false" customWidth="true" hidden="false" outlineLevel="0" max="16" min="16" style="0" width="50"/>
  </cols>
  <sheetData>
    <row r="1" customFormat="false" ht="16.15" hidden="false" customHeight="false" outlineLevel="0" collapsed="false">
      <c r="A1" s="1" t="s">
        <v>920</v>
      </c>
    </row>
    <row r="2" customFormat="false" ht="15" hidden="false" customHeight="false" outlineLevel="0" collapsed="false">
      <c r="A2" s="5" t="s">
        <v>921</v>
      </c>
    </row>
    <row r="4" customFormat="false" ht="15" hidden="false" customHeight="false" outlineLevel="0" collapsed="false">
      <c r="A4" s="7" t="s">
        <v>922</v>
      </c>
      <c r="B4" s="8"/>
      <c r="C4" s="8"/>
      <c r="D4" s="8"/>
      <c r="E4" s="8"/>
      <c r="F4" s="8"/>
      <c r="G4" s="8"/>
      <c r="H4" s="8"/>
      <c r="I4" s="8"/>
      <c r="J4" s="8"/>
      <c r="K4" s="8"/>
      <c r="L4" s="8"/>
      <c r="M4" s="8"/>
      <c r="N4" s="8"/>
      <c r="O4" s="8"/>
      <c r="P4" s="8"/>
    </row>
    <row r="5" customFormat="false" ht="15" hidden="false" customHeight="false" outlineLevel="0" collapsed="false">
      <c r="A5" s="32" t="s">
        <v>923</v>
      </c>
      <c r="C5" s="77" t="n">
        <f aca="false">LIQUIDITY_DRIVERS!E76</f>
        <v>864.115384615385</v>
      </c>
      <c r="D5" s="5" t="s">
        <v>924</v>
      </c>
    </row>
    <row r="6" customFormat="false" ht="15" hidden="false" customHeight="false" outlineLevel="0" collapsed="false">
      <c r="A6" s="32" t="s">
        <v>925</v>
      </c>
      <c r="C6" s="89" t="n">
        <f aca="false">ASSUMPTIONS!$E$61</f>
        <v>1.1</v>
      </c>
      <c r="D6" s="5" t="s">
        <v>926</v>
      </c>
    </row>
    <row r="7" customFormat="false" ht="15" hidden="false" customHeight="false" outlineLevel="0" collapsed="false">
      <c r="A7" s="32" t="s">
        <v>927</v>
      </c>
      <c r="C7" s="79" t="n">
        <f aca="false">C5*C6</f>
        <v>950.526923076923</v>
      </c>
      <c r="D7" s="5"/>
    </row>
    <row r="8" customFormat="false" ht="15" hidden="false" customHeight="false" outlineLevel="0" collapsed="false">
      <c r="A8" s="32" t="s">
        <v>928</v>
      </c>
      <c r="C8" s="82" t="n">
        <f aca="false">ASSUMPTIONS!$E$60</f>
        <v>3</v>
      </c>
      <c r="D8" s="5" t="s">
        <v>926</v>
      </c>
    </row>
    <row r="9" customFormat="false" ht="15" hidden="false" customHeight="false" outlineLevel="0" collapsed="false">
      <c r="A9" s="32" t="s">
        <v>929</v>
      </c>
      <c r="C9" s="77" t="n">
        <f aca="false">ASSUMPTIONS!$E$9</f>
        <v>160</v>
      </c>
      <c r="D9" s="5" t="s">
        <v>930</v>
      </c>
    </row>
    <row r="10" customFormat="false" ht="15" hidden="false" customHeight="false" outlineLevel="0" collapsed="false">
      <c r="A10" s="22" t="s">
        <v>931</v>
      </c>
      <c r="C10" s="90" t="n">
        <f aca="false">C7*C8+C9</f>
        <v>3011.58076923077</v>
      </c>
      <c r="D10" s="5" t="s">
        <v>932</v>
      </c>
    </row>
    <row r="12" customFormat="false" ht="15" hidden="false" customHeight="false" outlineLevel="0" collapsed="false">
      <c r="A12" s="7" t="s">
        <v>933</v>
      </c>
      <c r="B12" s="8"/>
      <c r="C12" s="8"/>
      <c r="D12" s="8"/>
      <c r="E12" s="8"/>
      <c r="F12" s="8"/>
      <c r="G12" s="8"/>
      <c r="H12" s="8"/>
      <c r="I12" s="8"/>
      <c r="J12" s="8"/>
      <c r="K12" s="8"/>
      <c r="L12" s="8"/>
      <c r="M12" s="8"/>
      <c r="N12" s="8"/>
      <c r="O12" s="8"/>
      <c r="P12" s="8"/>
    </row>
    <row r="13" customFormat="false" ht="35.05" hidden="false" customHeight="false" outlineLevel="0" collapsed="false">
      <c r="A13" s="15" t="s">
        <v>934</v>
      </c>
      <c r="B13" s="16" t="s">
        <v>935</v>
      </c>
      <c r="C13" s="16" t="s">
        <v>936</v>
      </c>
      <c r="D13" s="16" t="s">
        <v>937</v>
      </c>
      <c r="E13" s="16" t="s">
        <v>938</v>
      </c>
      <c r="F13" s="16" t="s">
        <v>939</v>
      </c>
      <c r="G13" s="16" t="s">
        <v>940</v>
      </c>
    </row>
    <row r="14" customFormat="false" ht="15" hidden="false" customHeight="false" outlineLevel="0" collapsed="false">
      <c r="A14" s="69" t="n">
        <f aca="false">ROW()-13</f>
        <v>1</v>
      </c>
      <c r="B14" s="66" t="n">
        <f aca="false">$C$7*A14+$C$9</f>
        <v>1110.52692307692</v>
      </c>
      <c r="C14" s="66" t="n">
        <f aca="false">MIN(13W_FORECAST!$C$60:$O$60)</f>
        <v>4203.80769230769</v>
      </c>
      <c r="D14" s="66" t="n">
        <f aca="false">C14-B14</f>
        <v>3093.28076923077</v>
      </c>
      <c r="E14" s="69" t="n">
        <f aca="false">COUNTIF(13W_FORECAST!$C$60:$O$60,"&lt;"&amp;B14)</f>
        <v>0</v>
      </c>
      <c r="F14" s="66" t="n">
        <f aca="false">MAX(0,B14-C14)</f>
        <v>0</v>
      </c>
      <c r="G14" s="68" t="n">
        <f aca="false">LIQUIDITY_DRIVERS!$H$68*ASSUMPTIONS!$E$7/ASSUMPTIONS!$E$8*SUMPRODUCT(((B14-13W_FORECAST!$C$60:$O$60)+ABS(B14-13W_FORECAST!$C$60:$O$60))/2)</f>
        <v>0</v>
      </c>
    </row>
    <row r="15" customFormat="false" ht="15" hidden="false" customHeight="false" outlineLevel="0" collapsed="false">
      <c r="A15" s="69" t="n">
        <f aca="false">ROW()-13</f>
        <v>2</v>
      </c>
      <c r="B15" s="66" t="n">
        <f aca="false">$C$7*A15+$C$9</f>
        <v>2061.05384615385</v>
      </c>
      <c r="C15" s="66" t="n">
        <f aca="false">MIN(13W_FORECAST!$C$60:$O$60)</f>
        <v>4203.80769230769</v>
      </c>
      <c r="D15" s="66" t="n">
        <f aca="false">C15-B15</f>
        <v>2142.75384615385</v>
      </c>
      <c r="E15" s="69" t="n">
        <f aca="false">COUNTIF(13W_FORECAST!$C$60:$O$60,"&lt;"&amp;B15)</f>
        <v>0</v>
      </c>
      <c r="F15" s="66" t="n">
        <f aca="false">MAX(0,B15-C15)</f>
        <v>0</v>
      </c>
      <c r="G15" s="68" t="n">
        <f aca="false">LIQUIDITY_DRIVERS!$H$68*ASSUMPTIONS!$E$7/ASSUMPTIONS!$E$8*SUMPRODUCT(((B15-13W_FORECAST!$C$60:$O$60)+ABS(B15-13W_FORECAST!$C$60:$O$60))/2)</f>
        <v>0</v>
      </c>
    </row>
    <row r="16" customFormat="false" ht="15" hidden="false" customHeight="false" outlineLevel="0" collapsed="false">
      <c r="A16" s="69" t="n">
        <f aca="false">ROW()-13</f>
        <v>3</v>
      </c>
      <c r="B16" s="66" t="n">
        <f aca="false">$C$7*A16+$C$9</f>
        <v>3011.58076923077</v>
      </c>
      <c r="C16" s="66" t="n">
        <f aca="false">MIN(13W_FORECAST!$C$60:$O$60)</f>
        <v>4203.80769230769</v>
      </c>
      <c r="D16" s="66" t="n">
        <f aca="false">C16-B16</f>
        <v>1192.22692307692</v>
      </c>
      <c r="E16" s="69" t="n">
        <f aca="false">COUNTIF(13W_FORECAST!$C$60:$O$60,"&lt;"&amp;B16)</f>
        <v>0</v>
      </c>
      <c r="F16" s="66" t="n">
        <f aca="false">MAX(0,B16-C16)</f>
        <v>0</v>
      </c>
      <c r="G16" s="68" t="n">
        <f aca="false">LIQUIDITY_DRIVERS!$H$68*ASSUMPTIONS!$E$7/ASSUMPTIONS!$E$8*SUMPRODUCT(((B16-13W_FORECAST!$C$60:$O$60)+ABS(B16-13W_FORECAST!$C$60:$O$60))/2)</f>
        <v>0</v>
      </c>
    </row>
    <row r="17" customFormat="false" ht="15" hidden="false" customHeight="false" outlineLevel="0" collapsed="false">
      <c r="A17" s="69" t="n">
        <f aca="false">ROW()-13</f>
        <v>4</v>
      </c>
      <c r="B17" s="66" t="n">
        <f aca="false">$C$7*A17+$C$9</f>
        <v>3962.10769230769</v>
      </c>
      <c r="C17" s="66" t="n">
        <f aca="false">MIN(13W_FORECAST!$C$60:$O$60)</f>
        <v>4203.80769230769</v>
      </c>
      <c r="D17" s="66" t="n">
        <f aca="false">C17-B17</f>
        <v>241.7</v>
      </c>
      <c r="E17" s="69" t="n">
        <f aca="false">COUNTIF(13W_FORECAST!$C$60:$O$60,"&lt;"&amp;B17)</f>
        <v>0</v>
      </c>
      <c r="F17" s="66" t="n">
        <f aca="false">MAX(0,B17-C17)</f>
        <v>0</v>
      </c>
      <c r="G17" s="68" t="n">
        <f aca="false">LIQUIDITY_DRIVERS!$H$68*ASSUMPTIONS!$E$7/ASSUMPTIONS!$E$8*SUMPRODUCT(((B17-13W_FORECAST!$C$60:$O$60)+ABS(B17-13W_FORECAST!$C$60:$O$60))/2)</f>
        <v>0</v>
      </c>
    </row>
    <row r="18" customFormat="false" ht="15" hidden="false" customHeight="false" outlineLevel="0" collapsed="false">
      <c r="A18" s="69" t="n">
        <f aca="false">ROW()-13</f>
        <v>5</v>
      </c>
      <c r="B18" s="66" t="n">
        <f aca="false">$C$7*A18+$C$9</f>
        <v>4912.63461538462</v>
      </c>
      <c r="C18" s="66" t="n">
        <f aca="false">MIN(13W_FORECAST!$C$60:$O$60)</f>
        <v>4203.80769230769</v>
      </c>
      <c r="D18" s="66" t="n">
        <f aca="false">C18-B18</f>
        <v>-708.826923076923</v>
      </c>
      <c r="E18" s="69" t="n">
        <f aca="false">COUNTIF(13W_FORECAST!$C$60:$O$60,"&lt;"&amp;B18)</f>
        <v>6</v>
      </c>
      <c r="F18" s="66" t="n">
        <f aca="false">MAX(0,B18-C18)</f>
        <v>708.826923076923</v>
      </c>
      <c r="G18" s="68" t="n">
        <f aca="false">LIQUIDITY_DRIVERS!$H$68*ASSUMPTIONS!$E$7/ASSUMPTIONS!$E$8*SUMPRODUCT(((B18-13W_FORECAST!$C$60:$O$60)+ABS(B18-13W_FORECAST!$C$60:$O$60))/2)</f>
        <v>1.74674095539164</v>
      </c>
    </row>
    <row r="19" customFormat="false" ht="15" hidden="false" customHeight="false" outlineLevel="0" collapsed="false">
      <c r="A19" s="69" t="n">
        <f aca="false">ROW()-13</f>
        <v>6</v>
      </c>
      <c r="B19" s="66" t="n">
        <f aca="false">$C$7*A19+$C$9</f>
        <v>5863.16153846154</v>
      </c>
      <c r="C19" s="66" t="n">
        <f aca="false">MIN(13W_FORECAST!$C$60:$O$60)</f>
        <v>4203.80769230769</v>
      </c>
      <c r="D19" s="66" t="n">
        <f aca="false">C19-B19</f>
        <v>-1659.35384615385</v>
      </c>
      <c r="E19" s="69" t="n">
        <f aca="false">COUNTIF(13W_FORECAST!$C$60:$O$60,"&lt;"&amp;B19)</f>
        <v>13</v>
      </c>
      <c r="F19" s="66" t="n">
        <f aca="false">MAX(0,B19-C19)</f>
        <v>1659.35384615385</v>
      </c>
      <c r="G19" s="68" t="n">
        <f aca="false">LIQUIDITY_DRIVERS!$H$68*ASSUMPTIONS!$E$7/ASSUMPTIONS!$E$8*SUMPRODUCT(((B19-13W_FORECAST!$C$60:$O$60)+ABS(B19-13W_FORECAST!$C$60:$O$60))/2)</f>
        <v>10.537144109589</v>
      </c>
    </row>
    <row r="20" customFormat="false" ht="15" hidden="false" customHeight="false" outlineLevel="0" collapsed="false">
      <c r="A20" s="5" t="s">
        <v>941</v>
      </c>
    </row>
    <row r="22" customFormat="false" ht="15" hidden="false" customHeight="false" outlineLevel="0" collapsed="false">
      <c r="A22" s="15" t="s">
        <v>942</v>
      </c>
      <c r="B22" s="16" t="s">
        <v>943</v>
      </c>
      <c r="C22" s="16" t="s">
        <v>798</v>
      </c>
      <c r="D22" s="16" t="s">
        <v>799</v>
      </c>
      <c r="E22" s="16" t="s">
        <v>800</v>
      </c>
      <c r="F22" s="16" t="s">
        <v>801</v>
      </c>
      <c r="G22" s="16" t="s">
        <v>802</v>
      </c>
      <c r="H22" s="16" t="s">
        <v>803</v>
      </c>
      <c r="I22" s="16" t="s">
        <v>804</v>
      </c>
      <c r="J22" s="16" t="s">
        <v>805</v>
      </c>
      <c r="K22" s="16" t="s">
        <v>806</v>
      </c>
      <c r="L22" s="16" t="s">
        <v>807</v>
      </c>
      <c r="M22" s="16" t="s">
        <v>808</v>
      </c>
      <c r="N22" s="16" t="s">
        <v>809</v>
      </c>
      <c r="O22" s="16" t="s">
        <v>810</v>
      </c>
      <c r="P22" s="16" t="s">
        <v>45</v>
      </c>
    </row>
    <row r="23" customFormat="false" ht="15" hidden="false" customHeight="false" outlineLevel="0" collapsed="false">
      <c r="A23" s="9" t="s">
        <v>860</v>
      </c>
      <c r="B23" s="66" t="n">
        <f aca="false">MIN(C23:O23)</f>
        <v>4203.80769230769</v>
      </c>
      <c r="C23" s="62" t="n">
        <f aca="false">13W_FORECAST!C51</f>
        <v>4203.80769230769</v>
      </c>
      <c r="D23" s="62" t="n">
        <f aca="false">13W_FORECAST!D51</f>
        <v>4466.61538461538</v>
      </c>
      <c r="E23" s="62" t="n">
        <f aca="false">13W_FORECAST!E51</f>
        <v>4729.42307692308</v>
      </c>
      <c r="F23" s="62" t="n">
        <f aca="false">13W_FORECAST!F51</f>
        <v>4992.23076923077</v>
      </c>
      <c r="G23" s="62" t="n">
        <f aca="false">13W_FORECAST!G51</f>
        <v>4474.70512820513</v>
      </c>
      <c r="H23" s="62" t="n">
        <f aca="false">13W_FORECAST!H51</f>
        <v>4737.51282051282</v>
      </c>
      <c r="I23" s="62" t="n">
        <f aca="false">13W_FORECAST!I51</f>
        <v>5000.32051282051</v>
      </c>
      <c r="J23" s="62" t="n">
        <f aca="false">13W_FORECAST!J51</f>
        <v>5263.12820512821</v>
      </c>
      <c r="K23" s="62" t="n">
        <f aca="false">13W_FORECAST!K51</f>
        <v>4745.60256410256</v>
      </c>
      <c r="L23" s="62" t="n">
        <f aca="false">13W_FORECAST!L51</f>
        <v>5008.41025641026</v>
      </c>
      <c r="M23" s="62" t="n">
        <f aca="false">13W_FORECAST!M51</f>
        <v>5271.21794871795</v>
      </c>
      <c r="N23" s="62" t="n">
        <f aca="false">13W_FORECAST!N51</f>
        <v>5534.02564102564</v>
      </c>
      <c r="O23" s="62" t="n">
        <f aca="false">13W_FORECAST!O51</f>
        <v>5016.5</v>
      </c>
      <c r="P23" s="40"/>
    </row>
    <row r="24" customFormat="false" ht="15" hidden="false" customHeight="false" outlineLevel="0" collapsed="false">
      <c r="A24" s="9" t="s">
        <v>944</v>
      </c>
      <c r="B24" s="20"/>
      <c r="C24" s="62" t="n">
        <f aca="false">13W_FORECAST!C52</f>
        <v>3011.58076923077</v>
      </c>
      <c r="D24" s="62" t="n">
        <f aca="false">13W_FORECAST!D52</f>
        <v>3011.58076923077</v>
      </c>
      <c r="E24" s="62" t="n">
        <f aca="false">13W_FORECAST!E52</f>
        <v>3011.58076923077</v>
      </c>
      <c r="F24" s="62" t="n">
        <f aca="false">13W_FORECAST!F52</f>
        <v>3011.58076923077</v>
      </c>
      <c r="G24" s="62" t="n">
        <f aca="false">13W_FORECAST!G52</f>
        <v>3011.58076923077</v>
      </c>
      <c r="H24" s="62" t="n">
        <f aca="false">13W_FORECAST!H52</f>
        <v>3011.58076923077</v>
      </c>
      <c r="I24" s="62" t="n">
        <f aca="false">13W_FORECAST!I52</f>
        <v>3011.58076923077</v>
      </c>
      <c r="J24" s="62" t="n">
        <f aca="false">13W_FORECAST!J52</f>
        <v>3011.58076923077</v>
      </c>
      <c r="K24" s="62" t="n">
        <f aca="false">13W_FORECAST!K52</f>
        <v>3011.58076923077</v>
      </c>
      <c r="L24" s="62" t="n">
        <f aca="false">13W_FORECAST!L52</f>
        <v>3011.58076923077</v>
      </c>
      <c r="M24" s="62" t="n">
        <f aca="false">13W_FORECAST!M52</f>
        <v>3011.58076923077</v>
      </c>
      <c r="N24" s="62" t="n">
        <f aca="false">13W_FORECAST!N52</f>
        <v>3011.58076923077</v>
      </c>
      <c r="O24" s="62" t="n">
        <f aca="false">13W_FORECAST!O52</f>
        <v>3011.58076923077</v>
      </c>
      <c r="P24" s="40"/>
    </row>
    <row r="25" customFormat="false" ht="15" hidden="false" customHeight="false" outlineLevel="0" collapsed="false">
      <c r="A25" s="14" t="s">
        <v>945</v>
      </c>
      <c r="B25" s="66" t="n">
        <f aca="false">MIN(C25:O25)</f>
        <v>1192.22692307692</v>
      </c>
      <c r="C25" s="67" t="n">
        <f aca="false">C23-C24</f>
        <v>1192.22692307692</v>
      </c>
      <c r="D25" s="67" t="n">
        <f aca="false">D23-D24</f>
        <v>1455.03461538461</v>
      </c>
      <c r="E25" s="67" t="n">
        <f aca="false">E23-E24</f>
        <v>1717.84230769231</v>
      </c>
      <c r="F25" s="67" t="n">
        <f aca="false">F23-F24</f>
        <v>1980.65</v>
      </c>
      <c r="G25" s="67" t="n">
        <f aca="false">G23-G24</f>
        <v>1463.12435897436</v>
      </c>
      <c r="H25" s="67" t="n">
        <f aca="false">H23-H24</f>
        <v>1725.93205128205</v>
      </c>
      <c r="I25" s="67" t="n">
        <f aca="false">I23-I24</f>
        <v>1988.73974358974</v>
      </c>
      <c r="J25" s="67" t="n">
        <f aca="false">J23-J24</f>
        <v>2251.54743589744</v>
      </c>
      <c r="K25" s="67" t="n">
        <f aca="false">K23-K24</f>
        <v>1734.0217948718</v>
      </c>
      <c r="L25" s="67" t="n">
        <f aca="false">L23-L24</f>
        <v>1996.82948717949</v>
      </c>
      <c r="M25" s="67" t="n">
        <f aca="false">M23-M24</f>
        <v>2259.63717948718</v>
      </c>
      <c r="N25" s="67" t="n">
        <f aca="false">N23-N24</f>
        <v>2522.44487179487</v>
      </c>
      <c r="O25" s="67" t="n">
        <f aca="false">O23-O24</f>
        <v>2004.91923076923</v>
      </c>
      <c r="P25" s="40" t="s">
        <v>946</v>
      </c>
    </row>
    <row r="26" customFormat="false" ht="15" hidden="false" customHeight="false" outlineLevel="0" collapsed="false">
      <c r="A26" s="9" t="s">
        <v>947</v>
      </c>
      <c r="B26" s="66" t="n">
        <f aca="false">MIN(C26:O26)</f>
        <v>4203.80769230769</v>
      </c>
      <c r="C26" s="62" t="n">
        <f aca="false">13W_FORECAST!C57</f>
        <v>4203.80769230769</v>
      </c>
      <c r="D26" s="62" t="n">
        <f aca="false">13W_FORECAST!D57</f>
        <v>4466.61538461539</v>
      </c>
      <c r="E26" s="62" t="n">
        <f aca="false">13W_FORECAST!E57</f>
        <v>4729.42307692308</v>
      </c>
      <c r="F26" s="62" t="n">
        <f aca="false">13W_FORECAST!F57</f>
        <v>4992.23076923077</v>
      </c>
      <c r="G26" s="62" t="n">
        <f aca="false">13W_FORECAST!G57</f>
        <v>4474.70512820513</v>
      </c>
      <c r="H26" s="62" t="n">
        <f aca="false">13W_FORECAST!H57</f>
        <v>4737.51282051282</v>
      </c>
      <c r="I26" s="62" t="n">
        <f aca="false">13W_FORECAST!I57</f>
        <v>5000.32051282051</v>
      </c>
      <c r="J26" s="62" t="n">
        <f aca="false">13W_FORECAST!J57</f>
        <v>5263.12820512821</v>
      </c>
      <c r="K26" s="62" t="n">
        <f aca="false">13W_FORECAST!K57</f>
        <v>4745.60256410256</v>
      </c>
      <c r="L26" s="62" t="n">
        <f aca="false">13W_FORECAST!L57</f>
        <v>5008.41025641026</v>
      </c>
      <c r="M26" s="62" t="n">
        <f aca="false">13W_FORECAST!M57</f>
        <v>5271.21794871795</v>
      </c>
      <c r="N26" s="62" t="n">
        <f aca="false">13W_FORECAST!N57</f>
        <v>5534.02564102564</v>
      </c>
      <c r="O26" s="62" t="n">
        <f aca="false">13W_FORECAST!O57</f>
        <v>5016.5</v>
      </c>
      <c r="P26" s="40"/>
    </row>
    <row r="27" customFormat="false" ht="15" hidden="false" customHeight="false" outlineLevel="0" collapsed="false">
      <c r="A27" s="9" t="s">
        <v>948</v>
      </c>
      <c r="B27" s="66" t="n">
        <f aca="false">MIN(C27:O27)</f>
        <v>7025.53191489362</v>
      </c>
      <c r="C27" s="66" t="n">
        <f aca="false">13W_FORECAST!$C$21-13W_FORECAST!C59</f>
        <v>7025.53191489362</v>
      </c>
      <c r="D27" s="66" t="n">
        <f aca="false">13W_FORECAST!$C$21-13W_FORECAST!D59</f>
        <v>7025.53191489362</v>
      </c>
      <c r="E27" s="66" t="n">
        <f aca="false">13W_FORECAST!$C$21-13W_FORECAST!E59</f>
        <v>7025.53191489362</v>
      </c>
      <c r="F27" s="66" t="n">
        <f aca="false">13W_FORECAST!$C$21-13W_FORECAST!F59</f>
        <v>7025.53191489362</v>
      </c>
      <c r="G27" s="66" t="n">
        <f aca="false">13W_FORECAST!$C$21-13W_FORECAST!G59</f>
        <v>7025.53191489362</v>
      </c>
      <c r="H27" s="66" t="n">
        <f aca="false">13W_FORECAST!$C$21-13W_FORECAST!H59</f>
        <v>7025.53191489362</v>
      </c>
      <c r="I27" s="66" t="n">
        <f aca="false">13W_FORECAST!$C$21-13W_FORECAST!I59</f>
        <v>7025.53191489362</v>
      </c>
      <c r="J27" s="66" t="n">
        <f aca="false">13W_FORECAST!$C$21-13W_FORECAST!J59</f>
        <v>7025.53191489362</v>
      </c>
      <c r="K27" s="66" t="n">
        <f aca="false">13W_FORECAST!$C$21-13W_FORECAST!K59</f>
        <v>7025.53191489362</v>
      </c>
      <c r="L27" s="66" t="n">
        <f aca="false">13W_FORECAST!$C$21-13W_FORECAST!L59</f>
        <v>7025.53191489362</v>
      </c>
      <c r="M27" s="66" t="n">
        <f aca="false">13W_FORECAST!$C$21-13W_FORECAST!M59</f>
        <v>7025.53191489362</v>
      </c>
      <c r="N27" s="66" t="n">
        <f aca="false">13W_FORECAST!$C$21-13W_FORECAST!N59</f>
        <v>7025.53191489362</v>
      </c>
      <c r="O27" s="66" t="n">
        <f aca="false">13W_FORECAST!$C$21-13W_FORECAST!O59</f>
        <v>7025.53191489362</v>
      </c>
      <c r="P27" s="40"/>
    </row>
    <row r="28" customFormat="false" ht="15" hidden="false" customHeight="false" outlineLevel="0" collapsed="false">
      <c r="A28" s="9" t="s">
        <v>949</v>
      </c>
      <c r="B28" s="66" t="n">
        <f aca="false">MIN(C28:O28)</f>
        <v>12190.3396072013</v>
      </c>
      <c r="C28" s="66" t="n">
        <f aca="false">C26+13W_FORECAST!$C$18-13W_FORECAST!$C$19+C27</f>
        <v>12190.3396072013</v>
      </c>
      <c r="D28" s="66" t="n">
        <f aca="false">D26+13W_FORECAST!$C$18-13W_FORECAST!$C$19+D27</f>
        <v>12453.147299509</v>
      </c>
      <c r="E28" s="66" t="n">
        <f aca="false">E26+13W_FORECAST!$C$18-13W_FORECAST!$C$19+E27</f>
        <v>12715.9549918167</v>
      </c>
      <c r="F28" s="66" t="n">
        <f aca="false">F26+13W_FORECAST!$C$18-13W_FORECAST!$C$19+F27</f>
        <v>12978.7626841244</v>
      </c>
      <c r="G28" s="66" t="n">
        <f aca="false">G26+13W_FORECAST!$C$18-13W_FORECAST!$C$19+G27</f>
        <v>12461.2370430987</v>
      </c>
      <c r="H28" s="66" t="n">
        <f aca="false">H26+13W_FORECAST!$C$18-13W_FORECAST!$C$19+H27</f>
        <v>12724.0447354064</v>
      </c>
      <c r="I28" s="66" t="n">
        <f aca="false">I26+13W_FORECAST!$C$18-13W_FORECAST!$C$19+I27</f>
        <v>12986.8524277141</v>
      </c>
      <c r="J28" s="66" t="n">
        <f aca="false">J26+13W_FORECAST!$C$18-13W_FORECAST!$C$19+J27</f>
        <v>13249.6601200218</v>
      </c>
      <c r="K28" s="66" t="n">
        <f aca="false">K26+13W_FORECAST!$C$18-13W_FORECAST!$C$19+K27</f>
        <v>12732.1344789962</v>
      </c>
      <c r="L28" s="66" t="n">
        <f aca="false">L26+13W_FORECAST!$C$18-13W_FORECAST!$C$19+L27</f>
        <v>12994.9421713039</v>
      </c>
      <c r="M28" s="66" t="n">
        <f aca="false">M26+13W_FORECAST!$C$18-13W_FORECAST!$C$19+M27</f>
        <v>13257.7498636116</v>
      </c>
      <c r="N28" s="66" t="n">
        <f aca="false">N26+13W_FORECAST!$C$18-13W_FORECAST!$C$19+N27</f>
        <v>13520.5575559193</v>
      </c>
      <c r="O28" s="66" t="n">
        <f aca="false">O26+13W_FORECAST!$C$18-13W_FORECAST!$C$19+O27</f>
        <v>13003.0319148936</v>
      </c>
      <c r="P28" s="40" t="s">
        <v>950</v>
      </c>
    </row>
    <row r="29" customFormat="false" ht="15" hidden="false" customHeight="false" outlineLevel="0" collapsed="false">
      <c r="A29" s="14" t="s">
        <v>951</v>
      </c>
      <c r="B29" s="66" t="n">
        <f aca="false">MIN(C29:O29)</f>
        <v>8217.75883797054</v>
      </c>
      <c r="C29" s="67" t="n">
        <f aca="false">C26+C27-C24</f>
        <v>8217.75883797054</v>
      </c>
      <c r="D29" s="67" t="n">
        <f aca="false">D26+D27-D24</f>
        <v>8480.56653027823</v>
      </c>
      <c r="E29" s="67" t="n">
        <f aca="false">E26+E27-E24</f>
        <v>8743.37422258592</v>
      </c>
      <c r="F29" s="67" t="n">
        <f aca="false">F26+F27-F24</f>
        <v>9006.18191489362</v>
      </c>
      <c r="G29" s="67" t="n">
        <f aca="false">G26+G27-G24</f>
        <v>8488.65627386798</v>
      </c>
      <c r="H29" s="67" t="n">
        <f aca="false">H26+H27-H24</f>
        <v>8751.46396617567</v>
      </c>
      <c r="I29" s="67" t="n">
        <f aca="false">I26+I27-I24</f>
        <v>9014.27165848336</v>
      </c>
      <c r="J29" s="67" t="n">
        <f aca="false">J26+J27-J24</f>
        <v>9277.07935079105</v>
      </c>
      <c r="K29" s="67" t="n">
        <f aca="false">K26+K27-K24</f>
        <v>8759.55370976541</v>
      </c>
      <c r="L29" s="67" t="n">
        <f aca="false">L26+L27-L24</f>
        <v>9022.3614020731</v>
      </c>
      <c r="M29" s="67" t="n">
        <f aca="false">M26+M27-M24</f>
        <v>9285.1690943808</v>
      </c>
      <c r="N29" s="67" t="n">
        <f aca="false">N26+N27-N24</f>
        <v>9547.97678668849</v>
      </c>
      <c r="O29" s="67" t="n">
        <f aca="false">O26+O27-O24</f>
        <v>9030.45114566285</v>
      </c>
      <c r="P29" s="40" t="s">
        <v>952</v>
      </c>
    </row>
    <row r="30" customFormat="false" ht="15" hidden="false" customHeight="false" outlineLevel="0" collapsed="false">
      <c r="A30" s="9" t="s">
        <v>953</v>
      </c>
      <c r="B30" s="20"/>
      <c r="C30" s="75" t="str">
        <f aca="false">IF(C29&lt;0,"DEFICIT",IF(C25&lt;0,"Funded","Headroom"))</f>
        <v>Headroom</v>
      </c>
      <c r="D30" s="75" t="str">
        <f aca="false">IF(D29&lt;0,"DEFICIT",IF(D25&lt;0,"Funded","Headroom"))</f>
        <v>Headroom</v>
      </c>
      <c r="E30" s="75" t="str">
        <f aca="false">IF(E29&lt;0,"DEFICIT",IF(E25&lt;0,"Funded","Headroom"))</f>
        <v>Headroom</v>
      </c>
      <c r="F30" s="75" t="str">
        <f aca="false">IF(F29&lt;0,"DEFICIT",IF(F25&lt;0,"Funded","Headroom"))</f>
        <v>Headroom</v>
      </c>
      <c r="G30" s="75" t="str">
        <f aca="false">IF(G29&lt;0,"DEFICIT",IF(G25&lt;0,"Funded","Headroom"))</f>
        <v>Headroom</v>
      </c>
      <c r="H30" s="75" t="str">
        <f aca="false">IF(H29&lt;0,"DEFICIT",IF(H25&lt;0,"Funded","Headroom"))</f>
        <v>Headroom</v>
      </c>
      <c r="I30" s="75" t="str">
        <f aca="false">IF(I29&lt;0,"DEFICIT",IF(I25&lt;0,"Funded","Headroom"))</f>
        <v>Headroom</v>
      </c>
      <c r="J30" s="75" t="str">
        <f aca="false">IF(J29&lt;0,"DEFICIT",IF(J25&lt;0,"Funded","Headroom"))</f>
        <v>Headroom</v>
      </c>
      <c r="K30" s="75" t="str">
        <f aca="false">IF(K29&lt;0,"DEFICIT",IF(K25&lt;0,"Funded","Headroom"))</f>
        <v>Headroom</v>
      </c>
      <c r="L30" s="75" t="str">
        <f aca="false">IF(L29&lt;0,"DEFICIT",IF(L25&lt;0,"Funded","Headroom"))</f>
        <v>Headroom</v>
      </c>
      <c r="M30" s="75" t="str">
        <f aca="false">IF(M29&lt;0,"DEFICIT",IF(M25&lt;0,"Funded","Headroom"))</f>
        <v>Headroom</v>
      </c>
      <c r="N30" s="75" t="str">
        <f aca="false">IF(N29&lt;0,"DEFICIT",IF(N25&lt;0,"Funded","Headroom"))</f>
        <v>Headroom</v>
      </c>
      <c r="O30" s="75" t="str">
        <f aca="false">IF(O29&lt;0,"DEFICIT",IF(O25&lt;0,"Funded","Headroom"))</f>
        <v>Headroom</v>
      </c>
      <c r="P30" s="40"/>
    </row>
  </sheetData>
  <conditionalFormatting sqref="B25:O25">
    <cfRule type="cellIs" priority="2" operator="lessThan" aboveAverage="0" equalAverage="0" bottom="0" percent="0" rank="0" text="" dxfId="0">
      <formula>0</formula>
    </cfRule>
    <cfRule type="cellIs" priority="3" operator="greaterThanOrEqual" aboveAverage="0" equalAverage="0" bottom="0" percent="0" rank="0" text="" dxfId="1">
      <formula>0</formula>
    </cfRule>
  </conditionalFormatting>
  <conditionalFormatting sqref="B29:O29">
    <cfRule type="cellIs" priority="4" operator="lessThan" aboveAverage="0" equalAverage="0" bottom="0" percent="0" rank="0" text="" dxfId="0">
      <formula>0</formula>
    </cfRule>
    <cfRule type="cellIs" priority="5" operator="greaterThanOrEqual" aboveAverage="0" equalAverage="0" bottom="0" percent="0" rank="0" text="" dxfId="1">
      <formula>0</formula>
    </cfRule>
  </conditionalFormatting>
  <conditionalFormatting sqref="C30:O30">
    <cfRule type="expression" priority="6" aboveAverage="0" equalAverage="0" bottom="0" percent="0" rank="0" text="" dxfId="0">
      <formula>C30="DEFICIT"</formula>
    </cfRule>
    <cfRule type="expression" priority="7" aboveAverage="0" equalAverage="0" bottom="0" percent="0" rank="0" text="" dxfId="2">
      <formula>C30="Funded"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15" min="3" style="0" width="10.51"/>
    <col collapsed="false" customWidth="true" hidden="false" outlineLevel="0" max="16" min="16" style="0" width="50"/>
  </cols>
  <sheetData>
    <row r="1" customFormat="false" ht="16.15" hidden="false" customHeight="false" outlineLevel="0" collapsed="false">
      <c r="A1" s="1" t="s">
        <v>954</v>
      </c>
    </row>
    <row r="2" customFormat="false" ht="15" hidden="false" customHeight="false" outlineLevel="0" collapsed="false">
      <c r="A2" s="5" t="s">
        <v>955</v>
      </c>
    </row>
    <row r="4" customFormat="false" ht="23.85" hidden="false" customHeight="false" outlineLevel="0" collapsed="false">
      <c r="A4" s="15" t="s">
        <v>956</v>
      </c>
      <c r="B4" s="16" t="s">
        <v>957</v>
      </c>
      <c r="C4" s="16" t="s">
        <v>958</v>
      </c>
      <c r="D4" s="16" t="s">
        <v>959</v>
      </c>
      <c r="E4" s="16" t="s">
        <v>960</v>
      </c>
    </row>
    <row r="5" customFormat="false" ht="15" hidden="false" customHeight="false" outlineLevel="0" collapsed="false">
      <c r="A5" s="9" t="s">
        <v>961</v>
      </c>
      <c r="B5" s="62" t="n">
        <f aca="false">MAX(0,13W_FORECAST!$C$16-LIQUIDITY_BUFFER!$C$10)</f>
        <v>929.419230769231</v>
      </c>
      <c r="C5" s="63" t="n">
        <f aca="false">ASSUMPTIONS!$E$44</f>
        <v>0.02</v>
      </c>
      <c r="D5" s="9" t="s">
        <v>962</v>
      </c>
      <c r="E5" s="9" t="str">
        <f aca="false">"Used first: opening cash above buffer = "&amp;TEXT(B5,"#,##0")&amp;"m (opportunity cost = investment yield)"</f>
        <v>Used first: opening cash above buffer = 929m (opportunity cost = investment yield)</v>
      </c>
    </row>
    <row r="6" customFormat="false" ht="15" hidden="false" customHeight="false" outlineLevel="0" collapsed="false">
      <c r="A6" s="9" t="s">
        <v>963</v>
      </c>
      <c r="B6" s="62" t="n">
        <f aca="false">13W_FORECAST!$C$21</f>
        <v>7025.53191489362</v>
      </c>
      <c r="C6" s="63" t="n">
        <f aca="false">LIQUIDITY_DRIVERS!$H$68</f>
        <v>0.043</v>
      </c>
      <c r="D6" s="9" t="s">
        <v>964</v>
      </c>
      <c r="E6" s="9" t="str">
        <f aca="false">IF(13W_FORECAST!$B$59&gt;0,"Drawn: peak "&amp;TEXT(13W_FORECAST!$B$59,"#,##0")&amp;"m in "&amp;13W_FORECAST!$C$4,"Not required in "&amp;13W_FORECAST!$C$4)</f>
        <v>Not required in Base</v>
      </c>
    </row>
    <row r="7" customFormat="false" ht="15" hidden="false" customHeight="false" outlineLevel="0" collapsed="false">
      <c r="A7" s="9" t="s">
        <v>965</v>
      </c>
      <c r="B7" s="91" t="s">
        <v>966</v>
      </c>
      <c r="C7" s="63" t="n">
        <f aca="false">LIQUIDITY_DRIVERS!$H$68</f>
        <v>0.043</v>
      </c>
      <c r="D7" s="9" t="s">
        <v>967</v>
      </c>
      <c r="E7" s="9" t="str">
        <f aca="false">"Capacity not disclosed as committed; excluded from committed headroom"</f>
        <v>Capacity not disclosed as committed; excluded from committed headroom</v>
      </c>
    </row>
    <row r="8" customFormat="false" ht="15" hidden="false" customHeight="false" outlineLevel="0" collapsed="false">
      <c r="A8" s="9" t="s">
        <v>968</v>
      </c>
      <c r="B8" s="91" t="s">
        <v>966</v>
      </c>
      <c r="C8" s="63" t="s">
        <v>519</v>
      </c>
      <c r="D8" s="9" t="s">
        <v>969</v>
      </c>
      <c r="E8" s="9" t="str">
        <f aca="false">"Outside a 13-week liquidity decision"</f>
        <v>Outside a 13-week liquidity decision</v>
      </c>
    </row>
    <row r="10" customFormat="false" ht="15" hidden="false" customHeight="false" outlineLevel="0" collapsed="false">
      <c r="A10" s="0" t="s">
        <v>970</v>
      </c>
      <c r="C10" s="80" t="n">
        <f aca="false">LIQUIDITY_DRIVERS!$H$68</f>
        <v>0.043</v>
      </c>
      <c r="D10" s="5" t="s">
        <v>971</v>
      </c>
    </row>
    <row r="12" customFormat="false" ht="15" hidden="false" customHeight="false" outlineLevel="0" collapsed="false">
      <c r="A12" s="15" t="s">
        <v>258</v>
      </c>
      <c r="B12" s="16" t="s">
        <v>943</v>
      </c>
      <c r="C12" s="16" t="s">
        <v>798</v>
      </c>
      <c r="D12" s="16" t="s">
        <v>799</v>
      </c>
      <c r="E12" s="16" t="s">
        <v>800</v>
      </c>
      <c r="F12" s="16" t="s">
        <v>801</v>
      </c>
      <c r="G12" s="16" t="s">
        <v>802</v>
      </c>
      <c r="H12" s="16" t="s">
        <v>803</v>
      </c>
      <c r="I12" s="16" t="s">
        <v>804</v>
      </c>
      <c r="J12" s="16" t="s">
        <v>805</v>
      </c>
      <c r="K12" s="16" t="s">
        <v>806</v>
      </c>
      <c r="L12" s="16" t="s">
        <v>807</v>
      </c>
      <c r="M12" s="16" t="s">
        <v>808</v>
      </c>
      <c r="N12" s="16" t="s">
        <v>809</v>
      </c>
      <c r="O12" s="16" t="s">
        <v>810</v>
      </c>
      <c r="P12" s="16" t="s">
        <v>45</v>
      </c>
    </row>
    <row r="13" customFormat="false" ht="15" hidden="false" customHeight="false" outlineLevel="0" collapsed="false">
      <c r="A13" s="9" t="s">
        <v>972</v>
      </c>
      <c r="B13" s="66" t="n">
        <f aca="false">MIN(C13:O13)</f>
        <v>1192.22692307692</v>
      </c>
      <c r="C13" s="62" t="n">
        <f aca="false">LIQUIDITY_BUFFER!C25</f>
        <v>1192.22692307692</v>
      </c>
      <c r="D13" s="62" t="n">
        <f aca="false">LIQUIDITY_BUFFER!D25</f>
        <v>1455.03461538461</v>
      </c>
      <c r="E13" s="62" t="n">
        <f aca="false">LIQUIDITY_BUFFER!E25</f>
        <v>1717.84230769231</v>
      </c>
      <c r="F13" s="62" t="n">
        <f aca="false">LIQUIDITY_BUFFER!F25</f>
        <v>1980.65</v>
      </c>
      <c r="G13" s="62" t="n">
        <f aca="false">LIQUIDITY_BUFFER!G25</f>
        <v>1463.12435897436</v>
      </c>
      <c r="H13" s="62" t="n">
        <f aca="false">LIQUIDITY_BUFFER!H25</f>
        <v>1725.93205128205</v>
      </c>
      <c r="I13" s="62" t="n">
        <f aca="false">LIQUIDITY_BUFFER!I25</f>
        <v>1988.73974358974</v>
      </c>
      <c r="J13" s="62" t="n">
        <f aca="false">LIQUIDITY_BUFFER!J25</f>
        <v>2251.54743589744</v>
      </c>
      <c r="K13" s="62" t="n">
        <f aca="false">LIQUIDITY_BUFFER!K25</f>
        <v>1734.0217948718</v>
      </c>
      <c r="L13" s="62" t="n">
        <f aca="false">LIQUIDITY_BUFFER!L25</f>
        <v>1996.82948717949</v>
      </c>
      <c r="M13" s="62" t="n">
        <f aca="false">LIQUIDITY_BUFFER!M25</f>
        <v>2259.63717948718</v>
      </c>
      <c r="N13" s="62" t="n">
        <f aca="false">LIQUIDITY_BUFFER!N25</f>
        <v>2522.44487179487</v>
      </c>
      <c r="O13" s="62" t="n">
        <f aca="false">LIQUIDITY_BUFFER!O25</f>
        <v>2004.91923076923</v>
      </c>
      <c r="P13" s="40"/>
    </row>
    <row r="14" customFormat="false" ht="15" hidden="false" customHeight="false" outlineLevel="0" collapsed="false">
      <c r="A14" s="9" t="s">
        <v>973</v>
      </c>
      <c r="B14" s="66" t="n">
        <f aca="false">SUM(C14:O14)</f>
        <v>0</v>
      </c>
      <c r="C14" s="66" t="n">
        <f aca="false">ABS(MIN(0,C13))</f>
        <v>0</v>
      </c>
      <c r="D14" s="66" t="n">
        <f aca="false">ABS(MIN(0,D13))</f>
        <v>0</v>
      </c>
      <c r="E14" s="66" t="n">
        <f aca="false">ABS(MIN(0,E13))</f>
        <v>0</v>
      </c>
      <c r="F14" s="66" t="n">
        <f aca="false">ABS(MIN(0,F13))</f>
        <v>0</v>
      </c>
      <c r="G14" s="66" t="n">
        <f aca="false">ABS(MIN(0,G13))</f>
        <v>0</v>
      </c>
      <c r="H14" s="66" t="n">
        <f aca="false">ABS(MIN(0,H13))</f>
        <v>0</v>
      </c>
      <c r="I14" s="66" t="n">
        <f aca="false">ABS(MIN(0,I13))</f>
        <v>0</v>
      </c>
      <c r="J14" s="66" t="n">
        <f aca="false">ABS(MIN(0,J13))</f>
        <v>0</v>
      </c>
      <c r="K14" s="66" t="n">
        <f aca="false">ABS(MIN(0,K13))</f>
        <v>0</v>
      </c>
      <c r="L14" s="66" t="n">
        <f aca="false">ABS(MIN(0,L13))</f>
        <v>0</v>
      </c>
      <c r="M14" s="66" t="n">
        <f aca="false">ABS(MIN(0,M13))</f>
        <v>0</v>
      </c>
      <c r="N14" s="66" t="n">
        <f aca="false">ABS(MIN(0,N13))</f>
        <v>0</v>
      </c>
      <c r="O14" s="66" t="n">
        <f aca="false">ABS(MIN(0,O13))</f>
        <v>0</v>
      </c>
      <c r="P14" s="40" t="s">
        <v>974</v>
      </c>
    </row>
    <row r="15" customFormat="false" ht="15" hidden="false" customHeight="false" outlineLevel="0" collapsed="false">
      <c r="A15" s="9" t="s">
        <v>975</v>
      </c>
      <c r="B15" s="66" t="n">
        <f aca="false">MAX(C15:O15)</f>
        <v>0</v>
      </c>
      <c r="C15" s="62" t="n">
        <f aca="false">13W_FORECAST!C59</f>
        <v>0</v>
      </c>
      <c r="D15" s="62" t="n">
        <f aca="false">13W_FORECAST!D59</f>
        <v>0</v>
      </c>
      <c r="E15" s="62" t="n">
        <f aca="false">13W_FORECAST!E59</f>
        <v>0</v>
      </c>
      <c r="F15" s="62" t="n">
        <f aca="false">13W_FORECAST!F59</f>
        <v>0</v>
      </c>
      <c r="G15" s="62" t="n">
        <f aca="false">13W_FORECAST!G59</f>
        <v>0</v>
      </c>
      <c r="H15" s="62" t="n">
        <f aca="false">13W_FORECAST!H59</f>
        <v>0</v>
      </c>
      <c r="I15" s="62" t="n">
        <f aca="false">13W_FORECAST!I59</f>
        <v>0</v>
      </c>
      <c r="J15" s="62" t="n">
        <f aca="false">13W_FORECAST!J59</f>
        <v>0</v>
      </c>
      <c r="K15" s="62" t="n">
        <f aca="false">13W_FORECAST!K59</f>
        <v>0</v>
      </c>
      <c r="L15" s="62" t="n">
        <f aca="false">13W_FORECAST!L59</f>
        <v>0</v>
      </c>
      <c r="M15" s="62" t="n">
        <f aca="false">13W_FORECAST!M59</f>
        <v>0</v>
      </c>
      <c r="N15" s="62" t="n">
        <f aca="false">13W_FORECAST!N59</f>
        <v>0</v>
      </c>
      <c r="O15" s="62" t="n">
        <f aca="false">13W_FORECAST!O59</f>
        <v>0</v>
      </c>
      <c r="P15" s="40" t="s">
        <v>976</v>
      </c>
    </row>
    <row r="16" customFormat="false" ht="15" hidden="false" customHeight="false" outlineLevel="0" collapsed="false">
      <c r="A16" s="9" t="s">
        <v>977</v>
      </c>
      <c r="B16" s="92" t="n">
        <f aca="false">MAX(C16:O16)</f>
        <v>0</v>
      </c>
      <c r="C16" s="92" t="n">
        <f aca="false">IFERROR(C15/13W_FORECAST!$C$21,0)</f>
        <v>0</v>
      </c>
      <c r="D16" s="92" t="n">
        <f aca="false">IFERROR(D15/13W_FORECAST!$C$21,0)</f>
        <v>0</v>
      </c>
      <c r="E16" s="92" t="n">
        <f aca="false">IFERROR(E15/13W_FORECAST!$C$21,0)</f>
        <v>0</v>
      </c>
      <c r="F16" s="92" t="n">
        <f aca="false">IFERROR(F15/13W_FORECAST!$C$21,0)</f>
        <v>0</v>
      </c>
      <c r="G16" s="92" t="n">
        <f aca="false">IFERROR(G15/13W_FORECAST!$C$21,0)</f>
        <v>0</v>
      </c>
      <c r="H16" s="92" t="n">
        <f aca="false">IFERROR(H15/13W_FORECAST!$C$21,0)</f>
        <v>0</v>
      </c>
      <c r="I16" s="92" t="n">
        <f aca="false">IFERROR(I15/13W_FORECAST!$C$21,0)</f>
        <v>0</v>
      </c>
      <c r="J16" s="92" t="n">
        <f aca="false">IFERROR(J15/13W_FORECAST!$C$21,0)</f>
        <v>0</v>
      </c>
      <c r="K16" s="92" t="n">
        <f aca="false">IFERROR(K15/13W_FORECAST!$C$21,0)</f>
        <v>0</v>
      </c>
      <c r="L16" s="92" t="n">
        <f aca="false">IFERROR(L15/13W_FORECAST!$C$21,0)</f>
        <v>0</v>
      </c>
      <c r="M16" s="92" t="n">
        <f aca="false">IFERROR(M15/13W_FORECAST!$C$21,0)</f>
        <v>0</v>
      </c>
      <c r="N16" s="92" t="n">
        <f aca="false">IFERROR(N15/13W_FORECAST!$C$21,0)</f>
        <v>0</v>
      </c>
      <c r="O16" s="92" t="n">
        <f aca="false">IFERROR(O15/13W_FORECAST!$C$21,0)</f>
        <v>0</v>
      </c>
      <c r="P16" s="40"/>
    </row>
    <row r="17" customFormat="false" ht="15" hidden="false" customHeight="false" outlineLevel="0" collapsed="false">
      <c r="A17" s="9" t="s">
        <v>978</v>
      </c>
      <c r="B17" s="20"/>
      <c r="C17" s="75" t="str">
        <f aca="false">IF(C16&gt;ASSUMPTIONS!$E$35,"BREACH","OK")</f>
        <v>OK</v>
      </c>
      <c r="D17" s="75" t="str">
        <f aca="false">IF(D16&gt;ASSUMPTIONS!$E$35,"BREACH","OK")</f>
        <v>OK</v>
      </c>
      <c r="E17" s="75" t="str">
        <f aca="false">IF(E16&gt;ASSUMPTIONS!$E$35,"BREACH","OK")</f>
        <v>OK</v>
      </c>
      <c r="F17" s="75" t="str">
        <f aca="false">IF(F16&gt;ASSUMPTIONS!$E$35,"BREACH","OK")</f>
        <v>OK</v>
      </c>
      <c r="G17" s="75" t="str">
        <f aca="false">IF(G16&gt;ASSUMPTIONS!$E$35,"BREACH","OK")</f>
        <v>OK</v>
      </c>
      <c r="H17" s="75" t="str">
        <f aca="false">IF(H16&gt;ASSUMPTIONS!$E$35,"BREACH","OK")</f>
        <v>OK</v>
      </c>
      <c r="I17" s="75" t="str">
        <f aca="false">IF(I16&gt;ASSUMPTIONS!$E$35,"BREACH","OK")</f>
        <v>OK</v>
      </c>
      <c r="J17" s="75" t="str">
        <f aca="false">IF(J16&gt;ASSUMPTIONS!$E$35,"BREACH","OK")</f>
        <v>OK</v>
      </c>
      <c r="K17" s="75" t="str">
        <f aca="false">IF(K16&gt;ASSUMPTIONS!$E$35,"BREACH","OK")</f>
        <v>OK</v>
      </c>
      <c r="L17" s="75" t="str">
        <f aca="false">IF(L16&gt;ASSUMPTIONS!$E$35,"BREACH","OK")</f>
        <v>OK</v>
      </c>
      <c r="M17" s="75" t="str">
        <f aca="false">IF(M16&gt;ASSUMPTIONS!$E$35,"BREACH","OK")</f>
        <v>OK</v>
      </c>
      <c r="N17" s="75" t="str">
        <f aca="false">IF(N16&gt;ASSUMPTIONS!$E$35,"BREACH","OK")</f>
        <v>OK</v>
      </c>
      <c r="O17" s="75" t="str">
        <f aca="false">IF(O16&gt;ASSUMPTIONS!$E$35,"BREACH","OK")</f>
        <v>OK</v>
      </c>
      <c r="P17" s="40"/>
    </row>
    <row r="18" customFormat="false" ht="15" hidden="false" customHeight="false" outlineLevel="0" collapsed="false">
      <c r="A18" s="14" t="s">
        <v>979</v>
      </c>
      <c r="B18" s="93" t="n">
        <f aca="false">SUM(C18:O18)</f>
        <v>0</v>
      </c>
      <c r="C18" s="93" t="n">
        <f aca="false">C15*$C$10*ASSUMPTIONS!$E$7/ASSUMPTIONS!$E$8</f>
        <v>0</v>
      </c>
      <c r="D18" s="93" t="n">
        <f aca="false">D15*$C$10*ASSUMPTIONS!$E$7/ASSUMPTIONS!$E$8</f>
        <v>0</v>
      </c>
      <c r="E18" s="93" t="n">
        <f aca="false">E15*$C$10*ASSUMPTIONS!$E$7/ASSUMPTIONS!$E$8</f>
        <v>0</v>
      </c>
      <c r="F18" s="93" t="n">
        <f aca="false">F15*$C$10*ASSUMPTIONS!$E$7/ASSUMPTIONS!$E$8</f>
        <v>0</v>
      </c>
      <c r="G18" s="93" t="n">
        <f aca="false">G15*$C$10*ASSUMPTIONS!$E$7/ASSUMPTIONS!$E$8</f>
        <v>0</v>
      </c>
      <c r="H18" s="93" t="n">
        <f aca="false">H15*$C$10*ASSUMPTIONS!$E$7/ASSUMPTIONS!$E$8</f>
        <v>0</v>
      </c>
      <c r="I18" s="93" t="n">
        <f aca="false">I15*$C$10*ASSUMPTIONS!$E$7/ASSUMPTIONS!$E$8</f>
        <v>0</v>
      </c>
      <c r="J18" s="93" t="n">
        <f aca="false">J15*$C$10*ASSUMPTIONS!$E$7/ASSUMPTIONS!$E$8</f>
        <v>0</v>
      </c>
      <c r="K18" s="93" t="n">
        <f aca="false">K15*$C$10*ASSUMPTIONS!$E$7/ASSUMPTIONS!$E$8</f>
        <v>0</v>
      </c>
      <c r="L18" s="93" t="n">
        <f aca="false">L15*$C$10*ASSUMPTIONS!$E$7/ASSUMPTIONS!$E$8</f>
        <v>0</v>
      </c>
      <c r="M18" s="93" t="n">
        <f aca="false">M15*$C$10*ASSUMPTIONS!$E$7/ASSUMPTIONS!$E$8</f>
        <v>0</v>
      </c>
      <c r="N18" s="93" t="n">
        <f aca="false">N15*$C$10*ASSUMPTIONS!$E$7/ASSUMPTIONS!$E$8</f>
        <v>0</v>
      </c>
      <c r="O18" s="93" t="n">
        <f aca="false">O15*$C$10*ASSUMPTIONS!$E$7/ASSUMPTIONS!$E$8</f>
        <v>0</v>
      </c>
      <c r="P18" s="40" t="s">
        <v>980</v>
      </c>
    </row>
    <row r="20" customFormat="false" ht="15" hidden="false" customHeight="false" outlineLevel="0" collapsed="false">
      <c r="A20" s="22" t="s">
        <v>981</v>
      </c>
      <c r="B20" s="94" t="n">
        <f aca="false">SUM(C18:O18)</f>
        <v>0</v>
      </c>
    </row>
    <row r="21" customFormat="false" ht="15" hidden="false" customHeight="false" outlineLevel="0" collapsed="false">
      <c r="A21" s="0" t="s">
        <v>982</v>
      </c>
      <c r="B21" s="86" t="n">
        <f aca="false">B15</f>
        <v>0</v>
      </c>
    </row>
    <row r="22" customFormat="false" ht="15" hidden="false" customHeight="false" outlineLevel="0" collapsed="false">
      <c r="A22" s="0" t="s">
        <v>983</v>
      </c>
      <c r="B22" s="95" t="n">
        <f aca="false">B16</f>
        <v>0</v>
      </c>
    </row>
    <row r="23" customFormat="false" ht="15" hidden="false" customHeight="false" outlineLevel="0" collapsed="false">
      <c r="A23" s="0" t="s">
        <v>984</v>
      </c>
      <c r="B23" s="96" t="n">
        <f aca="false">COUNTIF(C17:O17,"BREACH")</f>
        <v>0</v>
      </c>
    </row>
  </sheetData>
  <conditionalFormatting sqref="B16:O16">
    <cfRule type="cellIs" priority="2" operator="greaterThan" aboveAverage="0" equalAverage="0" bottom="0" percent="0" rank="0" text="" dxfId="0">
      <formula>ASSUMPTIONS!$E$35</formula>
    </cfRule>
  </conditionalFormatting>
  <conditionalFormatting sqref="C17:O17">
    <cfRule type="expression" priority="3" aboveAverage="0" equalAverage="0" bottom="0" percent="0" rank="0" text="" dxfId="0">
      <formula>C17="BREACH"</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15" min="3" style="0" width="10.51"/>
    <col collapsed="false" customWidth="true" hidden="false" outlineLevel="0" max="16" min="16" style="0" width="50"/>
  </cols>
  <sheetData>
    <row r="1" customFormat="false" ht="16.15" hidden="false" customHeight="false" outlineLevel="0" collapsed="false">
      <c r="A1" s="1" t="s">
        <v>985</v>
      </c>
    </row>
    <row r="2" customFormat="false" ht="15" hidden="false" customHeight="false" outlineLevel="0" collapsed="false">
      <c r="A2" s="5" t="s">
        <v>986</v>
      </c>
    </row>
    <row r="4" customFormat="false" ht="35.05" hidden="false" customHeight="false" outlineLevel="0" collapsed="false">
      <c r="A4" s="15" t="s">
        <v>987</v>
      </c>
      <c r="B4" s="16" t="s">
        <v>988</v>
      </c>
      <c r="C4" s="16" t="s">
        <v>989</v>
      </c>
      <c r="D4" s="16" t="s">
        <v>990</v>
      </c>
    </row>
    <row r="5" customFormat="false" ht="15" hidden="false" customHeight="false" outlineLevel="0" collapsed="false">
      <c r="A5" s="32" t="s">
        <v>991</v>
      </c>
      <c r="B5" s="80" t="n">
        <f aca="false">ASSUMPTIONS!$E$44</f>
        <v>0.02</v>
      </c>
      <c r="C5" s="82" t="n">
        <f aca="false">ASSUMPTIONS!$E$46</f>
        <v>13</v>
      </c>
      <c r="D5" s="84" t="n">
        <f aca="false">ASSUMPTIONS!$E$45</f>
        <v>1</v>
      </c>
    </row>
    <row r="7" customFormat="false" ht="15" hidden="false" customHeight="false" outlineLevel="0" collapsed="false">
      <c r="A7" s="15" t="s">
        <v>258</v>
      </c>
      <c r="B7" s="16" t="s">
        <v>943</v>
      </c>
      <c r="C7" s="16" t="s">
        <v>798</v>
      </c>
      <c r="D7" s="16" t="s">
        <v>799</v>
      </c>
      <c r="E7" s="16" t="s">
        <v>800</v>
      </c>
      <c r="F7" s="16" t="s">
        <v>801</v>
      </c>
      <c r="G7" s="16" t="s">
        <v>802</v>
      </c>
      <c r="H7" s="16" t="s">
        <v>803</v>
      </c>
      <c r="I7" s="16" t="s">
        <v>804</v>
      </c>
      <c r="J7" s="16" t="s">
        <v>805</v>
      </c>
      <c r="K7" s="16" t="s">
        <v>806</v>
      </c>
      <c r="L7" s="16" t="s">
        <v>807</v>
      </c>
      <c r="M7" s="16" t="s">
        <v>808</v>
      </c>
      <c r="N7" s="16" t="s">
        <v>809</v>
      </c>
      <c r="O7" s="16" t="s">
        <v>810</v>
      </c>
      <c r="P7" s="16" t="s">
        <v>45</v>
      </c>
    </row>
    <row r="8" customFormat="false" ht="15" hidden="false" customHeight="false" outlineLevel="0" collapsed="false">
      <c r="A8" s="9" t="s">
        <v>992</v>
      </c>
      <c r="B8" s="66" t="n">
        <f aca="false">MIN(C8:O8)</f>
        <v>4203.80769230769</v>
      </c>
      <c r="C8" s="62" t="n">
        <f aca="false">13W_FORECAST!C57</f>
        <v>4203.80769230769</v>
      </c>
      <c r="D8" s="62" t="n">
        <f aca="false">13W_FORECAST!D57</f>
        <v>4466.61538461539</v>
      </c>
      <c r="E8" s="62" t="n">
        <f aca="false">13W_FORECAST!E57</f>
        <v>4729.42307692308</v>
      </c>
      <c r="F8" s="62" t="n">
        <f aca="false">13W_FORECAST!F57</f>
        <v>4992.23076923077</v>
      </c>
      <c r="G8" s="62" t="n">
        <f aca="false">13W_FORECAST!G57</f>
        <v>4474.70512820513</v>
      </c>
      <c r="H8" s="62" t="n">
        <f aca="false">13W_FORECAST!H57</f>
        <v>4737.51282051282</v>
      </c>
      <c r="I8" s="62" t="n">
        <f aca="false">13W_FORECAST!I57</f>
        <v>5000.32051282051</v>
      </c>
      <c r="J8" s="62" t="n">
        <f aca="false">13W_FORECAST!J57</f>
        <v>5263.12820512821</v>
      </c>
      <c r="K8" s="62" t="n">
        <f aca="false">13W_FORECAST!K57</f>
        <v>4745.60256410256</v>
      </c>
      <c r="L8" s="62" t="n">
        <f aca="false">13W_FORECAST!L57</f>
        <v>5008.41025641026</v>
      </c>
      <c r="M8" s="62" t="n">
        <f aca="false">13W_FORECAST!M57</f>
        <v>5271.21794871795</v>
      </c>
      <c r="N8" s="62" t="n">
        <f aca="false">13W_FORECAST!N57</f>
        <v>5534.02564102564</v>
      </c>
      <c r="O8" s="62" t="n">
        <f aca="false">13W_FORECAST!O57</f>
        <v>5016.5</v>
      </c>
      <c r="P8" s="40"/>
    </row>
    <row r="9" customFormat="false" ht="15" hidden="false" customHeight="false" outlineLevel="0" collapsed="false">
      <c r="A9" s="9" t="s">
        <v>944</v>
      </c>
      <c r="B9" s="20"/>
      <c r="C9" s="62" t="n">
        <f aca="false">13W_FORECAST!C52</f>
        <v>3011.58076923077</v>
      </c>
      <c r="D9" s="62" t="n">
        <f aca="false">13W_FORECAST!D52</f>
        <v>3011.58076923077</v>
      </c>
      <c r="E9" s="62" t="n">
        <f aca="false">13W_FORECAST!E52</f>
        <v>3011.58076923077</v>
      </c>
      <c r="F9" s="62" t="n">
        <f aca="false">13W_FORECAST!F52</f>
        <v>3011.58076923077</v>
      </c>
      <c r="G9" s="62" t="n">
        <f aca="false">13W_FORECAST!G52</f>
        <v>3011.58076923077</v>
      </c>
      <c r="H9" s="62" t="n">
        <f aca="false">13W_FORECAST!H52</f>
        <v>3011.58076923077</v>
      </c>
      <c r="I9" s="62" t="n">
        <f aca="false">13W_FORECAST!I52</f>
        <v>3011.58076923077</v>
      </c>
      <c r="J9" s="62" t="n">
        <f aca="false">13W_FORECAST!J52</f>
        <v>3011.58076923077</v>
      </c>
      <c r="K9" s="62" t="n">
        <f aca="false">13W_FORECAST!K52</f>
        <v>3011.58076923077</v>
      </c>
      <c r="L9" s="62" t="n">
        <f aca="false">13W_FORECAST!L52</f>
        <v>3011.58076923077</v>
      </c>
      <c r="M9" s="62" t="n">
        <f aca="false">13W_FORECAST!M52</f>
        <v>3011.58076923077</v>
      </c>
      <c r="N9" s="62" t="n">
        <f aca="false">13W_FORECAST!N52</f>
        <v>3011.58076923077</v>
      </c>
      <c r="O9" s="62" t="n">
        <f aca="false">13W_FORECAST!O52</f>
        <v>3011.58076923077</v>
      </c>
      <c r="P9" s="40"/>
    </row>
    <row r="10" customFormat="false" ht="15" hidden="false" customHeight="false" outlineLevel="0" collapsed="false">
      <c r="A10" s="9" t="s">
        <v>993</v>
      </c>
      <c r="B10" s="20"/>
      <c r="C10" s="62" t="n">
        <f aca="false">ASSUMPTIONS!$E$47</f>
        <v>0</v>
      </c>
      <c r="D10" s="62" t="n">
        <f aca="false">ASSUMPTIONS!$E$47</f>
        <v>0</v>
      </c>
      <c r="E10" s="62" t="n">
        <f aca="false">ASSUMPTIONS!$E$47</f>
        <v>0</v>
      </c>
      <c r="F10" s="62" t="n">
        <f aca="false">ASSUMPTIONS!$E$47</f>
        <v>0</v>
      </c>
      <c r="G10" s="62" t="n">
        <f aca="false">ASSUMPTIONS!$E$47</f>
        <v>0</v>
      </c>
      <c r="H10" s="62" t="n">
        <f aca="false">ASSUMPTIONS!$E$47</f>
        <v>0</v>
      </c>
      <c r="I10" s="62" t="n">
        <f aca="false">ASSUMPTIONS!$E$47</f>
        <v>0</v>
      </c>
      <c r="J10" s="62" t="n">
        <f aca="false">ASSUMPTIONS!$E$47</f>
        <v>0</v>
      </c>
      <c r="K10" s="62" t="n">
        <f aca="false">ASSUMPTIONS!$E$47</f>
        <v>0</v>
      </c>
      <c r="L10" s="62" t="n">
        <f aca="false">ASSUMPTIONS!$E$47</f>
        <v>0</v>
      </c>
      <c r="M10" s="62" t="n">
        <f aca="false">ASSUMPTIONS!$E$47</f>
        <v>0</v>
      </c>
      <c r="N10" s="62" t="n">
        <f aca="false">ASSUMPTIONS!$E$47</f>
        <v>0</v>
      </c>
      <c r="O10" s="62" t="n">
        <f aca="false">ASSUMPTIONS!$E$47</f>
        <v>0</v>
      </c>
      <c r="P10" s="40"/>
    </row>
    <row r="11" customFormat="false" ht="15" hidden="false" customHeight="false" outlineLevel="0" collapsed="false">
      <c r="A11" s="14" t="s">
        <v>994</v>
      </c>
      <c r="B11" s="66" t="n">
        <f aca="false">MAX(C11:O11)</f>
        <v>2522.44487179487</v>
      </c>
      <c r="C11" s="67" t="n">
        <f aca="false">MAX(0,C8-C9-C10)</f>
        <v>1192.22692307692</v>
      </c>
      <c r="D11" s="67" t="n">
        <f aca="false">MAX(0,D8-D9-D10)</f>
        <v>1455.03461538462</v>
      </c>
      <c r="E11" s="67" t="n">
        <f aca="false">MAX(0,E8-E9-E10)</f>
        <v>1717.84230769231</v>
      </c>
      <c r="F11" s="67" t="n">
        <f aca="false">MAX(0,F8-F9-F10)</f>
        <v>1980.65</v>
      </c>
      <c r="G11" s="67" t="n">
        <f aca="false">MAX(0,G8-G9-G10)</f>
        <v>1463.12435897436</v>
      </c>
      <c r="H11" s="67" t="n">
        <f aca="false">MAX(0,H8-H9-H10)</f>
        <v>1725.93205128205</v>
      </c>
      <c r="I11" s="67" t="n">
        <f aca="false">MAX(0,I8-I9-I10)</f>
        <v>1988.73974358974</v>
      </c>
      <c r="J11" s="67" t="n">
        <f aca="false">MAX(0,J8-J9-J10)</f>
        <v>2251.54743589744</v>
      </c>
      <c r="K11" s="67" t="n">
        <f aca="false">MAX(0,K8-K9-K10)</f>
        <v>1734.0217948718</v>
      </c>
      <c r="L11" s="67" t="n">
        <f aca="false">MAX(0,L8-L9-L10)</f>
        <v>1996.82948717949</v>
      </c>
      <c r="M11" s="67" t="n">
        <f aca="false">MAX(0,M8-M9-M10)</f>
        <v>2259.63717948718</v>
      </c>
      <c r="N11" s="67" t="n">
        <f aca="false">MAX(0,N8-N9-N10)</f>
        <v>2522.44487179487</v>
      </c>
      <c r="O11" s="67" t="n">
        <f aca="false">MAX(0,O8-O9-O10)</f>
        <v>2004.91923076923</v>
      </c>
      <c r="P11" s="40" t="s">
        <v>995</v>
      </c>
    </row>
    <row r="12" customFormat="false" ht="15" hidden="false" customHeight="false" outlineLevel="0" collapsed="false">
      <c r="A12" s="9" t="s">
        <v>996</v>
      </c>
      <c r="B12" s="66" t="n">
        <f aca="false">MAX(C12:O12)</f>
        <v>2522.44487179487</v>
      </c>
      <c r="C12" s="66" t="n">
        <f aca="false">C11*$D$5</f>
        <v>1192.22692307692</v>
      </c>
      <c r="D12" s="66" t="n">
        <f aca="false">D11*$D$5</f>
        <v>1455.03461538462</v>
      </c>
      <c r="E12" s="66" t="n">
        <f aca="false">E11*$D$5</f>
        <v>1717.84230769231</v>
      </c>
      <c r="F12" s="66" t="n">
        <f aca="false">F11*$D$5</f>
        <v>1980.65</v>
      </c>
      <c r="G12" s="66" t="n">
        <f aca="false">G11*$D$5</f>
        <v>1463.12435897436</v>
      </c>
      <c r="H12" s="66" t="n">
        <f aca="false">H11*$D$5</f>
        <v>1725.93205128205</v>
      </c>
      <c r="I12" s="66" t="n">
        <f aca="false">I11*$D$5</f>
        <v>1988.73974358974</v>
      </c>
      <c r="J12" s="66" t="n">
        <f aca="false">J11*$D$5</f>
        <v>2251.54743589744</v>
      </c>
      <c r="K12" s="66" t="n">
        <f aca="false">K11*$D$5</f>
        <v>1734.0217948718</v>
      </c>
      <c r="L12" s="66" t="n">
        <f aca="false">L11*$D$5</f>
        <v>1996.82948717949</v>
      </c>
      <c r="M12" s="66" t="n">
        <f aca="false">M11*$D$5</f>
        <v>2259.63717948718</v>
      </c>
      <c r="N12" s="66" t="n">
        <f aca="false">N11*$D$5</f>
        <v>2522.44487179487</v>
      </c>
      <c r="O12" s="66" t="n">
        <f aca="false">O11*$D$5</f>
        <v>2004.91923076923</v>
      </c>
      <c r="P12" s="40"/>
    </row>
    <row r="13" customFormat="false" ht="15" hidden="false" customHeight="false" outlineLevel="0" collapsed="false">
      <c r="A13" s="14" t="s">
        <v>997</v>
      </c>
      <c r="B13" s="93" t="n">
        <f aca="false">SUM(C13:O13)</f>
        <v>9.31784383561644</v>
      </c>
      <c r="C13" s="93" t="n">
        <f aca="false">C12*$B$5*ASSUMPTIONS!$E$7/ASSUMPTIONS!$E$8</f>
        <v>0.457292518440464</v>
      </c>
      <c r="D13" s="93" t="n">
        <f aca="false">D12*$B$5*ASSUMPTIONS!$E$7/ASSUMPTIONS!$E$8</f>
        <v>0.558095468914647</v>
      </c>
      <c r="E13" s="93" t="n">
        <f aca="false">E12*$B$5*ASSUMPTIONS!$E$7/ASSUMPTIONS!$E$8</f>
        <v>0.65889841938883</v>
      </c>
      <c r="F13" s="93" t="n">
        <f aca="false">F12*$B$5*ASSUMPTIONS!$E$7/ASSUMPTIONS!$E$8</f>
        <v>0.759701369863014</v>
      </c>
      <c r="G13" s="93" t="n">
        <f aca="false">G12*$B$5*ASSUMPTIONS!$E$7/ASSUMPTIONS!$E$8</f>
        <v>0.561198384264138</v>
      </c>
      <c r="H13" s="93" t="n">
        <f aca="false">H12*$B$5*ASSUMPTIONS!$E$7/ASSUMPTIONS!$E$8</f>
        <v>0.662001334738321</v>
      </c>
      <c r="I13" s="93" t="n">
        <f aca="false">I12*$B$5*ASSUMPTIONS!$E$7/ASSUMPTIONS!$E$8</f>
        <v>0.762804285212505</v>
      </c>
      <c r="J13" s="93" t="n">
        <f aca="false">J12*$B$5*ASSUMPTIONS!$E$7/ASSUMPTIONS!$E$8</f>
        <v>0.863607235686688</v>
      </c>
      <c r="K13" s="93" t="n">
        <f aca="false">K12*$B$5*ASSUMPTIONS!$E$7/ASSUMPTIONS!$E$8</f>
        <v>0.665104250087812</v>
      </c>
      <c r="L13" s="93" t="n">
        <f aca="false">L12*$B$5*ASSUMPTIONS!$E$7/ASSUMPTIONS!$E$8</f>
        <v>0.765907200561995</v>
      </c>
      <c r="M13" s="93" t="n">
        <f aca="false">M12*$B$5*ASSUMPTIONS!$E$7/ASSUMPTIONS!$E$8</f>
        <v>0.866710151036178</v>
      </c>
      <c r="N13" s="93" t="n">
        <f aca="false">N12*$B$5*ASSUMPTIONS!$E$7/ASSUMPTIONS!$E$8</f>
        <v>0.967513101510362</v>
      </c>
      <c r="O13" s="93" t="n">
        <f aca="false">O12*$B$5*ASSUMPTIONS!$E$7/ASSUMPTIONS!$E$8</f>
        <v>0.769010115911486</v>
      </c>
      <c r="P13" s="40" t="s">
        <v>998</v>
      </c>
    </row>
    <row r="15" customFormat="false" ht="15" hidden="false" customHeight="false" outlineLevel="0" collapsed="false">
      <c r="A15" s="22" t="s">
        <v>999</v>
      </c>
      <c r="B15" s="94" t="n">
        <f aca="false">SUM(C13:O13)</f>
        <v>9.31784383561644</v>
      </c>
    </row>
    <row r="16" customFormat="false" ht="15" hidden="false" customHeight="false" outlineLevel="0" collapsed="false">
      <c r="A16" s="0" t="s">
        <v>1000</v>
      </c>
      <c r="B16" s="86" t="n">
        <f aca="false">AVERAGE(C11:O11)</f>
        <v>1868.68846153846</v>
      </c>
    </row>
    <row r="17" customFormat="false" ht="15" hidden="false" customHeight="false" outlineLevel="0" collapsed="false">
      <c r="A17" s="0" t="s">
        <v>1001</v>
      </c>
      <c r="B17" s="86" t="n">
        <f aca="false">B11</f>
        <v>2522.44487179487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14"/>
    <col collapsed="false" customWidth="true" hidden="false" outlineLevel="0" max="6" min="6" style="0" width="16"/>
    <col collapsed="false" customWidth="true" hidden="false" outlineLevel="0" max="7" min="7" style="0" width="18"/>
    <col collapsed="false" customWidth="true" hidden="false" outlineLevel="0" max="8" min="8" style="0" width="4"/>
    <col collapsed="false" customWidth="true" hidden="false" outlineLevel="0" max="10" min="9" style="0" width="16"/>
    <col collapsed="false" customWidth="true" hidden="false" outlineLevel="0" max="11" min="11" style="0" width="60"/>
  </cols>
  <sheetData>
    <row r="1" customFormat="false" ht="16.15" hidden="false" customHeight="false" outlineLevel="0" collapsed="false">
      <c r="A1" s="1" t="s">
        <v>1002</v>
      </c>
    </row>
    <row r="2" customFormat="false" ht="15" hidden="false" customHeight="false" outlineLevel="0" collapsed="false">
      <c r="A2" s="5" t="s">
        <v>1003</v>
      </c>
    </row>
    <row r="4" customFormat="false" ht="23.85" hidden="false" customHeight="false" outlineLevel="0" collapsed="false">
      <c r="A4" s="15" t="s">
        <v>1004</v>
      </c>
      <c r="B4" s="16" t="s">
        <v>834</v>
      </c>
      <c r="C4" s="16" t="s">
        <v>1005</v>
      </c>
      <c r="D4" s="16" t="s">
        <v>1006</v>
      </c>
      <c r="E4" s="16" t="s">
        <v>1007</v>
      </c>
      <c r="F4" s="16" t="s">
        <v>1008</v>
      </c>
      <c r="G4" s="16" t="s">
        <v>1009</v>
      </c>
    </row>
    <row r="5" customFormat="false" ht="15" hidden="false" customHeight="false" outlineLevel="0" collapsed="false">
      <c r="A5" s="9" t="s">
        <v>1010</v>
      </c>
      <c r="B5" s="97" t="n">
        <f aca="false">13W_FORECAST!$B$31*ASSUMPTIONS!$E$50</f>
        <v>2537.3</v>
      </c>
      <c r="C5" s="97" t="n">
        <f aca="false">13W_FORECAST!$B$41*ASSUMPTIONS!$E$54</f>
        <v>-2808.375</v>
      </c>
      <c r="D5" s="97" t="n">
        <f aca="false">B5+C5</f>
        <v>-271.075</v>
      </c>
      <c r="E5" s="43" t="n">
        <f aca="false">0</f>
        <v>0</v>
      </c>
      <c r="F5" s="97" t="n">
        <f aca="false">D5*(1+E5)</f>
        <v>-271.075</v>
      </c>
      <c r="G5" s="97" t="n">
        <f aca="false">D5*E5</f>
        <v>-0</v>
      </c>
    </row>
    <row r="6" customFormat="false" ht="15" hidden="false" customHeight="false" outlineLevel="0" collapsed="false">
      <c r="A6" s="9" t="s">
        <v>1011</v>
      </c>
      <c r="B6" s="97" t="n">
        <f aca="false">13W_FORECAST!$B$31*ASSUMPTIONS!$E$51</f>
        <v>634.325</v>
      </c>
      <c r="C6" s="97" t="n">
        <f aca="false">13W_FORECAST!$B$41*ASSUMPTIONS!$E$55</f>
        <v>-786.345</v>
      </c>
      <c r="D6" s="97" t="n">
        <f aca="false">B6+C6</f>
        <v>-152.02</v>
      </c>
      <c r="E6" s="43" t="n">
        <f aca="false">ASSUMPTIONS!$E$49</f>
        <v>0</v>
      </c>
      <c r="F6" s="97" t="n">
        <f aca="false">D6*(1+E6)</f>
        <v>-152.02</v>
      </c>
      <c r="G6" s="97" t="n">
        <f aca="false">D6*E6</f>
        <v>-0</v>
      </c>
    </row>
    <row r="7" customFormat="false" ht="15" hidden="false" customHeight="false" outlineLevel="0" collapsed="false">
      <c r="A7" s="9" t="s">
        <v>1012</v>
      </c>
      <c r="B7" s="97" t="n">
        <f aca="false">13W_FORECAST!$B$31*ASSUMPTIONS!$E$52</f>
        <v>2537.3</v>
      </c>
      <c r="C7" s="97" t="n">
        <f aca="false">13W_FORECAST!$B$41*ASSUMPTIONS!$E$56</f>
        <v>-2246.7</v>
      </c>
      <c r="D7" s="97" t="n">
        <f aca="false">B7+C7</f>
        <v>290.6</v>
      </c>
      <c r="E7" s="43" t="n">
        <f aca="false">ASSUMPTIONS!$E$49</f>
        <v>0</v>
      </c>
      <c r="F7" s="97" t="n">
        <f aca="false">D7*(1+E7)</f>
        <v>290.6</v>
      </c>
      <c r="G7" s="97" t="n">
        <f aca="false">D7*E7</f>
        <v>0</v>
      </c>
    </row>
    <row r="8" customFormat="false" ht="15" hidden="false" customHeight="false" outlineLevel="0" collapsed="false">
      <c r="A8" s="9" t="s">
        <v>1013</v>
      </c>
      <c r="B8" s="97" t="n">
        <f aca="false">13W_FORECAST!$B$31*ASSUMPTIONS!$E$53</f>
        <v>6977.575</v>
      </c>
      <c r="C8" s="97" t="n">
        <f aca="false">13W_FORECAST!$B$41*ASSUMPTIONS!$E$57</f>
        <v>-5392.08</v>
      </c>
      <c r="D8" s="97" t="n">
        <f aca="false">B8+C8</f>
        <v>1585.495</v>
      </c>
      <c r="E8" s="43" t="n">
        <f aca="false">ASSUMPTIONS!$E$49</f>
        <v>0</v>
      </c>
      <c r="F8" s="97" t="n">
        <f aca="false">D8*(1+E8)</f>
        <v>1585.495</v>
      </c>
      <c r="G8" s="97" t="n">
        <f aca="false">D8*E8</f>
        <v>0</v>
      </c>
    </row>
    <row r="9" customFormat="false" ht="15" hidden="false" customHeight="false" outlineLevel="0" collapsed="false">
      <c r="A9" s="22" t="s">
        <v>1014</v>
      </c>
      <c r="B9" s="87" t="n">
        <f aca="false">SUM(B5:B8)</f>
        <v>12686.5</v>
      </c>
      <c r="C9" s="87" t="n">
        <f aca="false">SUM(C5:C8)</f>
        <v>-11233.5</v>
      </c>
      <c r="D9" s="87" t="n">
        <f aca="false">SUM(D5:D8)</f>
        <v>1453</v>
      </c>
      <c r="F9" s="87" t="n">
        <f aca="false">SUM(F5:F8)</f>
        <v>1453</v>
      </c>
      <c r="G9" s="87" t="n">
        <f aca="false">SUM(G5:G8)</f>
        <v>0</v>
      </c>
    </row>
    <row r="10" customFormat="false" ht="15" hidden="false" customHeight="false" outlineLevel="0" collapsed="false">
      <c r="A10" s="0" t="s">
        <v>1015</v>
      </c>
      <c r="G10" s="77" t="n">
        <f aca="false">13W_FORECAST!$B$42</f>
        <v>0</v>
      </c>
    </row>
    <row r="11" customFormat="false" ht="15" hidden="false" customHeight="false" outlineLevel="0" collapsed="false">
      <c r="A11" s="0" t="s">
        <v>1016</v>
      </c>
      <c r="B11" s="0" t="str">
        <f aca="false">IF(AND(ABS(ASSUMPTIONS!$E$50+ASSUMPTIONS!$E$51+ASSUMPTIONS!$E$52+ASSUMPTIONS!$E$53-1)&lt;0.0001,ABS(ASSUMPTIONS!$E$54+ASSUMPTIONS!$E$55+ASSUMPTIONS!$E$56+ASSUMPTIONS!$E$57-1)&lt;0.0001),"Yes","NO")</f>
        <v>Yes</v>
      </c>
    </row>
    <row r="13" customFormat="false" ht="15" hidden="false" customHeight="false" outlineLevel="0" collapsed="false">
      <c r="A13" s="7" t="s">
        <v>1017</v>
      </c>
      <c r="B13" s="8"/>
      <c r="C13" s="8"/>
      <c r="D13" s="8"/>
      <c r="E13" s="8"/>
      <c r="F13" s="8"/>
      <c r="G13" s="8"/>
      <c r="H13" s="8"/>
      <c r="I13" s="8"/>
      <c r="J13" s="8"/>
      <c r="K13" s="8"/>
    </row>
    <row r="14" customFormat="false" ht="15" hidden="false" customHeight="false" outlineLevel="0" collapsed="false">
      <c r="A14" s="15" t="s">
        <v>1004</v>
      </c>
      <c r="B14" s="16" t="s">
        <v>1018</v>
      </c>
      <c r="C14" s="16" t="s">
        <v>1019</v>
      </c>
      <c r="D14" s="16" t="s">
        <v>1020</v>
      </c>
    </row>
    <row r="15" customFormat="false" ht="15" hidden="false" customHeight="false" outlineLevel="0" collapsed="false">
      <c r="A15" s="32" t="s">
        <v>1010</v>
      </c>
      <c r="B15" s="86" t="n">
        <f aca="false">D5</f>
        <v>-271.075</v>
      </c>
      <c r="C15" s="5" t="s">
        <v>1021</v>
      </c>
      <c r="D15" s="5" t="s">
        <v>1021</v>
      </c>
    </row>
    <row r="16" customFormat="false" ht="15" hidden="false" customHeight="false" outlineLevel="0" collapsed="false">
      <c r="A16" s="32" t="s">
        <v>1011</v>
      </c>
      <c r="B16" s="86" t="n">
        <f aca="false">D6</f>
        <v>-152.02</v>
      </c>
      <c r="C16" s="86" t="n">
        <f aca="false">B16*ASSUMPTIONS!$E$58</f>
        <v>-7.601</v>
      </c>
      <c r="D16" s="86" t="n">
        <f aca="false">-B16*ASSUMPTIONS!$E$58</f>
        <v>7.601</v>
      </c>
    </row>
    <row r="17" customFormat="false" ht="15" hidden="false" customHeight="false" outlineLevel="0" collapsed="false">
      <c r="A17" s="32" t="s">
        <v>1012</v>
      </c>
      <c r="B17" s="86" t="n">
        <f aca="false">D7</f>
        <v>290.6</v>
      </c>
      <c r="C17" s="86" t="n">
        <f aca="false">B17*ASSUMPTIONS!$E$58</f>
        <v>14.53</v>
      </c>
      <c r="D17" s="86" t="n">
        <f aca="false">-B17*ASSUMPTIONS!$E$58</f>
        <v>-14.53</v>
      </c>
    </row>
    <row r="18" customFormat="false" ht="15" hidden="false" customHeight="false" outlineLevel="0" collapsed="false">
      <c r="A18" s="32" t="s">
        <v>1013</v>
      </c>
      <c r="B18" s="86" t="n">
        <f aca="false">D8</f>
        <v>1585.495</v>
      </c>
      <c r="C18" s="86" t="n">
        <f aca="false">B18*ASSUMPTIONS!$E$58</f>
        <v>79.27475</v>
      </c>
      <c r="D18" s="86" t="n">
        <f aca="false">-B18*ASSUMPTIONS!$E$58</f>
        <v>-79.27475</v>
      </c>
    </row>
    <row r="20" customFormat="false" ht="15" hidden="false" customHeight="true" outlineLevel="0" collapsed="false">
      <c r="A20" s="30" t="s">
        <v>1022</v>
      </c>
      <c r="B20" s="30"/>
      <c r="C20" s="30"/>
      <c r="D20" s="30"/>
      <c r="E20" s="30"/>
      <c r="F20" s="30"/>
      <c r="G20" s="30"/>
      <c r="H20" s="30"/>
      <c r="I20" s="30"/>
      <c r="J20" s="30"/>
      <c r="K20" s="30"/>
    </row>
    <row r="21" customFormat="false" ht="15" hidden="false" customHeight="false" outlineLevel="0" collapsed="false">
      <c r="A21" s="30"/>
      <c r="B21" s="30"/>
      <c r="C21" s="30"/>
      <c r="D21" s="30"/>
      <c r="E21" s="30"/>
      <c r="F21" s="30"/>
      <c r="G21" s="30"/>
      <c r="H21" s="30"/>
      <c r="I21" s="30"/>
      <c r="J21" s="30"/>
      <c r="K21" s="30"/>
    </row>
  </sheetData>
  <mergeCells count="1">
    <mergeCell ref="A20:K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9" min="2" style="0" width="13"/>
    <col collapsed="false" customWidth="true" hidden="false" outlineLevel="0" max="10" min="10" style="0" width="12"/>
    <col collapsed="false" customWidth="true" hidden="false" outlineLevel="0" max="11" min="11" style="0" width="10"/>
    <col collapsed="false" customWidth="true" hidden="false" outlineLevel="0" max="15" min="12" style="0" width="12"/>
    <col collapsed="false" customWidth="true" hidden="false" outlineLevel="0" max="16" min="16" style="0" width="40"/>
  </cols>
  <sheetData>
    <row r="1" customFormat="false" ht="16.15" hidden="false" customHeight="false" outlineLevel="0" collapsed="false">
      <c r="A1" s="1" t="s">
        <v>1023</v>
      </c>
    </row>
    <row r="2" customFormat="false" ht="15" hidden="false" customHeight="false" outlineLevel="0" collapsed="false">
      <c r="A2" s="5" t="s">
        <v>1024</v>
      </c>
    </row>
    <row r="4" customFormat="false" ht="15" hidden="false" customHeight="false" outlineLevel="0" collapsed="false">
      <c r="A4" s="32" t="s">
        <v>1025</v>
      </c>
      <c r="B4" s="80" t="n">
        <f aca="false">LIQUIDITY_DRIVERS!$H$68</f>
        <v>0.043</v>
      </c>
    </row>
    <row r="5" customFormat="false" ht="15" hidden="false" customHeight="false" outlineLevel="0" collapsed="false">
      <c r="A5" s="32" t="s">
        <v>1026</v>
      </c>
      <c r="B5" s="80" t="n">
        <f aca="false">ASSUMPTIONS!$E$44</f>
        <v>0.02</v>
      </c>
    </row>
    <row r="6" customFormat="false" ht="15" hidden="false" customHeight="false" outlineLevel="0" collapsed="false">
      <c r="A6" s="32" t="s">
        <v>990</v>
      </c>
      <c r="B6" s="84" t="n">
        <f aca="false">ASSUMPTIONS!$E$45</f>
        <v>1</v>
      </c>
    </row>
    <row r="7" customFormat="false" ht="15" hidden="false" customHeight="false" outlineLevel="0" collapsed="false">
      <c r="A7" s="32" t="s">
        <v>1027</v>
      </c>
      <c r="B7" s="77" t="n">
        <f aca="false">ASSUMPTIONS!$E$47</f>
        <v>0</v>
      </c>
    </row>
    <row r="8" customFormat="false" ht="15" hidden="false" customHeight="false" outlineLevel="0" collapsed="false">
      <c r="A8" s="32" t="s">
        <v>1028</v>
      </c>
      <c r="B8" s="98" t="n">
        <f aca="false">ASSUMPTIONS!$E$7/ASSUMPTIONS!$E$8</f>
        <v>0.0191780821917808</v>
      </c>
    </row>
    <row r="9" customFormat="false" ht="15" hidden="false" customHeight="false" outlineLevel="0" collapsed="false">
      <c r="A9" s="32" t="s">
        <v>1029</v>
      </c>
      <c r="B9" s="77" t="n">
        <f aca="false">13W_FORECAST!$C$21</f>
        <v>7025.53191489362</v>
      </c>
    </row>
    <row r="10" customFormat="false" ht="15" hidden="false" customHeight="false" outlineLevel="0" collapsed="false">
      <c r="A10" s="32" t="s">
        <v>1030</v>
      </c>
      <c r="B10" s="77" t="n">
        <f aca="false">ASSUMPTIONS!$E$9</f>
        <v>160</v>
      </c>
    </row>
    <row r="11" customFormat="false" ht="15" hidden="false" customHeight="false" outlineLevel="0" collapsed="false">
      <c r="A11" s="32" t="s">
        <v>1031</v>
      </c>
      <c r="B11" s="77" t="n">
        <f aca="false">SCENARIOS!$B$26</f>
        <v>3267.10081589041</v>
      </c>
      <c r="C11" s="5" t="s">
        <v>1032</v>
      </c>
    </row>
    <row r="12" customFormat="false" ht="15" hidden="false" customHeight="false" outlineLevel="0" collapsed="false">
      <c r="A12" s="32" t="s">
        <v>1033</v>
      </c>
      <c r="B12" s="77" t="n">
        <f aca="false">LIQUIDITY_BUFFER!$C$10</f>
        <v>3011.58076923077</v>
      </c>
    </row>
    <row r="13" customFormat="false" ht="15" hidden="false" customHeight="false" outlineLevel="0" collapsed="false">
      <c r="A13" s="32" t="s">
        <v>1034</v>
      </c>
      <c r="B13" s="84" t="n">
        <f aca="false">ASSUMPTIONS!$E$35</f>
        <v>1</v>
      </c>
    </row>
    <row r="15" customFormat="false" ht="35.05" hidden="false" customHeight="false" outlineLevel="0" collapsed="false">
      <c r="A15" s="15" t="s">
        <v>935</v>
      </c>
      <c r="B15" s="16" t="s">
        <v>938</v>
      </c>
      <c r="C15" s="16" t="s">
        <v>982</v>
      </c>
      <c r="D15" s="16" t="s">
        <v>940</v>
      </c>
      <c r="E15" s="16" t="s">
        <v>1035</v>
      </c>
      <c r="F15" s="16" t="s">
        <v>1036</v>
      </c>
      <c r="G15" s="16" t="s">
        <v>1037</v>
      </c>
      <c r="H15" s="16" t="s">
        <v>1038</v>
      </c>
      <c r="I15" s="16" t="s">
        <v>1039</v>
      </c>
      <c r="J15" s="16" t="s">
        <v>1040</v>
      </c>
      <c r="K15" s="16" t="s">
        <v>1041</v>
      </c>
      <c r="L15" s="16" t="s">
        <v>1042</v>
      </c>
    </row>
    <row r="16" customFormat="false" ht="15" hidden="false" customHeight="false" outlineLevel="0" collapsed="false">
      <c r="A16" s="97" t="n">
        <f aca="false">ASSUMPTIONS!$E$63+(ROW()-16)*ASSUMPTIONS!$E$64</f>
        <v>1000</v>
      </c>
      <c r="B16" s="69" t="n">
        <f aca="false">COUNTIF(13W_FORECAST!$C$60:$O$60,"&lt;"&amp;$A16)</f>
        <v>0</v>
      </c>
      <c r="C16" s="66" t="n">
        <f aca="false">MAX(0,$A16-MIN(13W_FORECAST!$C$60:$O$60))</f>
        <v>0</v>
      </c>
      <c r="D16" s="68" t="n">
        <f aca="false">$B$4*$B$8*SUMPRODUCT((($A16-13W_FORECAST!$C$60:$O$60)+ABS($A16-13W_FORECAST!$C$60:$O$60))/2)</f>
        <v>0</v>
      </c>
      <c r="E16" s="66" t="n">
        <f aca="false">SUMPRODUCT(((13W_FORECAST!$C$60:$O$60-$A16-$B$7)+ABS(13W_FORECAST!$C$60:$O$60-$A16-$B$7))/2)/13</f>
        <v>3880.26923076923</v>
      </c>
      <c r="F16" s="68" t="n">
        <f aca="false">$B$5*$B$6*$B$8*SUMPRODUCT(((13W_FORECAST!$C$60:$O$60-$A16-$B$7)+ABS(13W_FORECAST!$C$60:$O$60-$A16-$B$7))/2)</f>
        <v>19.3481917808219</v>
      </c>
      <c r="G16" s="68" t="n">
        <f aca="false">D16-F16</f>
        <v>-19.3481917808219</v>
      </c>
      <c r="H16" s="66" t="n">
        <f aca="false">MIN(13W_FORECAST!$C$60:$O$60)-$A16+$B$9</f>
        <v>10229.3396072013</v>
      </c>
      <c r="I16" s="66" t="n">
        <f aca="false">MAX(0,$B$11-($A16-$B$10))</f>
        <v>2427.10081589041</v>
      </c>
      <c r="J16" s="66" t="str">
        <f aca="false">IF(C16&gt;$B$9*$B$13,"BREACH","OK")</f>
        <v>OK</v>
      </c>
      <c r="K16" s="69" t="n">
        <f aca="false">IF(AND(I16=0,J16="OK"),1,0)</f>
        <v>0</v>
      </c>
      <c r="L16" s="66" t="str">
        <f aca="false">IF(K16=1,A16,"")</f>
        <v/>
      </c>
    </row>
    <row r="17" customFormat="false" ht="15" hidden="false" customHeight="false" outlineLevel="0" collapsed="false">
      <c r="A17" s="97" t="n">
        <f aca="false">ASSUMPTIONS!$E$63+(ROW()-16)*ASSUMPTIONS!$E$64</f>
        <v>1500</v>
      </c>
      <c r="B17" s="69" t="n">
        <f aca="false">COUNTIF(13W_FORECAST!$C$60:$O$60,"&lt;"&amp;$A17)</f>
        <v>0</v>
      </c>
      <c r="C17" s="66" t="n">
        <f aca="false">MAX(0,$A17-MIN(13W_FORECAST!$C$60:$O$60))</f>
        <v>0</v>
      </c>
      <c r="D17" s="68" t="n">
        <f aca="false">$B$4*$B$8*SUMPRODUCT((($A17-13W_FORECAST!$C$60:$O$60)+ABS($A17-13W_FORECAST!$C$60:$O$60))/2)</f>
        <v>0</v>
      </c>
      <c r="E17" s="66" t="n">
        <f aca="false">SUMPRODUCT(((13W_FORECAST!$C$60:$O$60-$A17-$B$7)+ABS(13W_FORECAST!$C$60:$O$60-$A17-$B$7))/2)/13</f>
        <v>3380.26923076923</v>
      </c>
      <c r="F17" s="68" t="n">
        <f aca="false">$B$5*$B$6*$B$8*SUMPRODUCT(((13W_FORECAST!$C$60:$O$60-$A17-$B$7)+ABS(13W_FORECAST!$C$60:$O$60-$A17-$B$7))/2)</f>
        <v>16.8550410958904</v>
      </c>
      <c r="G17" s="68" t="n">
        <f aca="false">D17-F17</f>
        <v>-16.8550410958904</v>
      </c>
      <c r="H17" s="66" t="n">
        <f aca="false">MIN(13W_FORECAST!$C$60:$O$60)-$A17+$B$9</f>
        <v>9729.33960720131</v>
      </c>
      <c r="I17" s="66" t="n">
        <f aca="false">MAX(0,$B$11-($A17-$B$10))</f>
        <v>1927.10081589041</v>
      </c>
      <c r="J17" s="66" t="str">
        <f aca="false">IF(C17&gt;$B$9*$B$13,"BREACH","OK")</f>
        <v>OK</v>
      </c>
      <c r="K17" s="69" t="n">
        <f aca="false">IF(AND(I17=0,J17="OK"),1,0)</f>
        <v>0</v>
      </c>
      <c r="L17" s="66" t="str">
        <f aca="false">IF(K17=1,A17,"")</f>
        <v/>
      </c>
    </row>
    <row r="18" customFormat="false" ht="15" hidden="false" customHeight="false" outlineLevel="0" collapsed="false">
      <c r="A18" s="97" t="n">
        <f aca="false">ASSUMPTIONS!$E$63+(ROW()-16)*ASSUMPTIONS!$E$64</f>
        <v>2000</v>
      </c>
      <c r="B18" s="69" t="n">
        <f aca="false">COUNTIF(13W_FORECAST!$C$60:$O$60,"&lt;"&amp;$A18)</f>
        <v>0</v>
      </c>
      <c r="C18" s="66" t="n">
        <f aca="false">MAX(0,$A18-MIN(13W_FORECAST!$C$60:$O$60))</f>
        <v>0</v>
      </c>
      <c r="D18" s="68" t="n">
        <f aca="false">$B$4*$B$8*SUMPRODUCT((($A18-13W_FORECAST!$C$60:$O$60)+ABS($A18-13W_FORECAST!$C$60:$O$60))/2)</f>
        <v>0</v>
      </c>
      <c r="E18" s="66" t="n">
        <f aca="false">SUMPRODUCT(((13W_FORECAST!$C$60:$O$60-$A18-$B$7)+ABS(13W_FORECAST!$C$60:$O$60-$A18-$B$7))/2)/13</f>
        <v>2880.26923076923</v>
      </c>
      <c r="F18" s="68" t="n">
        <f aca="false">$B$5*$B$6*$B$8*SUMPRODUCT(((13W_FORECAST!$C$60:$O$60-$A18-$B$7)+ABS(13W_FORECAST!$C$60:$O$60-$A18-$B$7))/2)</f>
        <v>14.3618904109589</v>
      </c>
      <c r="G18" s="68" t="n">
        <f aca="false">D18-F18</f>
        <v>-14.3618904109589</v>
      </c>
      <c r="H18" s="66" t="n">
        <f aca="false">MIN(13W_FORECAST!$C$60:$O$60)-$A18+$B$9</f>
        <v>9229.33960720131</v>
      </c>
      <c r="I18" s="66" t="n">
        <f aca="false">MAX(0,$B$11-($A18-$B$10))</f>
        <v>1427.10081589041</v>
      </c>
      <c r="J18" s="66" t="str">
        <f aca="false">IF(C18&gt;$B$9*$B$13,"BREACH","OK")</f>
        <v>OK</v>
      </c>
      <c r="K18" s="69" t="n">
        <f aca="false">IF(AND(I18=0,J18="OK"),1,0)</f>
        <v>0</v>
      </c>
      <c r="L18" s="66" t="str">
        <f aca="false">IF(K18=1,A18,"")</f>
        <v/>
      </c>
    </row>
    <row r="19" customFormat="false" ht="15" hidden="false" customHeight="false" outlineLevel="0" collapsed="false">
      <c r="A19" s="97" t="n">
        <f aca="false">ASSUMPTIONS!$E$63+(ROW()-16)*ASSUMPTIONS!$E$64</f>
        <v>2500</v>
      </c>
      <c r="B19" s="69" t="n">
        <f aca="false">COUNTIF(13W_FORECAST!$C$60:$O$60,"&lt;"&amp;$A19)</f>
        <v>0</v>
      </c>
      <c r="C19" s="66" t="n">
        <f aca="false">MAX(0,$A19-MIN(13W_FORECAST!$C$60:$O$60))</f>
        <v>0</v>
      </c>
      <c r="D19" s="68" t="n">
        <f aca="false">$B$4*$B$8*SUMPRODUCT((($A19-13W_FORECAST!$C$60:$O$60)+ABS($A19-13W_FORECAST!$C$60:$O$60))/2)</f>
        <v>0</v>
      </c>
      <c r="E19" s="66" t="n">
        <f aca="false">SUMPRODUCT(((13W_FORECAST!$C$60:$O$60-$A19-$B$7)+ABS(13W_FORECAST!$C$60:$O$60-$A19-$B$7))/2)/13</f>
        <v>2380.26923076923</v>
      </c>
      <c r="F19" s="68" t="n">
        <f aca="false">$B$5*$B$6*$B$8*SUMPRODUCT(((13W_FORECAST!$C$60:$O$60-$A19-$B$7)+ABS(13W_FORECAST!$C$60:$O$60-$A19-$B$7))/2)</f>
        <v>11.8687397260274</v>
      </c>
      <c r="G19" s="68" t="n">
        <f aca="false">D19-F19</f>
        <v>-11.8687397260274</v>
      </c>
      <c r="H19" s="66" t="n">
        <f aca="false">MIN(13W_FORECAST!$C$60:$O$60)-$A19+$B$9</f>
        <v>8729.33960720131</v>
      </c>
      <c r="I19" s="66" t="n">
        <f aca="false">MAX(0,$B$11-($A19-$B$10))</f>
        <v>927.100815890412</v>
      </c>
      <c r="J19" s="66" t="str">
        <f aca="false">IF(C19&gt;$B$9*$B$13,"BREACH","OK")</f>
        <v>OK</v>
      </c>
      <c r="K19" s="69" t="n">
        <f aca="false">IF(AND(I19=0,J19="OK"),1,0)</f>
        <v>0</v>
      </c>
      <c r="L19" s="66" t="str">
        <f aca="false">IF(K19=1,A19,"")</f>
        <v/>
      </c>
    </row>
    <row r="20" customFormat="false" ht="15" hidden="false" customHeight="false" outlineLevel="0" collapsed="false">
      <c r="A20" s="97" t="n">
        <f aca="false">ASSUMPTIONS!$E$63+(ROW()-16)*ASSUMPTIONS!$E$64</f>
        <v>3000</v>
      </c>
      <c r="B20" s="69" t="n">
        <f aca="false">COUNTIF(13W_FORECAST!$C$60:$O$60,"&lt;"&amp;$A20)</f>
        <v>0</v>
      </c>
      <c r="C20" s="66" t="n">
        <f aca="false">MAX(0,$A20-MIN(13W_FORECAST!$C$60:$O$60))</f>
        <v>0</v>
      </c>
      <c r="D20" s="68" t="n">
        <f aca="false">$B$4*$B$8*SUMPRODUCT((($A20-13W_FORECAST!$C$60:$O$60)+ABS($A20-13W_FORECAST!$C$60:$O$60))/2)</f>
        <v>0</v>
      </c>
      <c r="E20" s="66" t="n">
        <f aca="false">SUMPRODUCT(((13W_FORECAST!$C$60:$O$60-$A20-$B$7)+ABS(13W_FORECAST!$C$60:$O$60-$A20-$B$7))/2)/13</f>
        <v>1880.26923076923</v>
      </c>
      <c r="F20" s="68" t="n">
        <f aca="false">$B$5*$B$6*$B$8*SUMPRODUCT(((13W_FORECAST!$C$60:$O$60-$A20-$B$7)+ABS(13W_FORECAST!$C$60:$O$60-$A20-$B$7))/2)</f>
        <v>9.37558904109589</v>
      </c>
      <c r="G20" s="68" t="n">
        <f aca="false">D20-F20</f>
        <v>-9.37558904109589</v>
      </c>
      <c r="H20" s="66" t="n">
        <f aca="false">MIN(13W_FORECAST!$C$60:$O$60)-$A20+$B$9</f>
        <v>8229.33960720131</v>
      </c>
      <c r="I20" s="66" t="n">
        <f aca="false">MAX(0,$B$11-($A20-$B$10))</f>
        <v>427.100815890412</v>
      </c>
      <c r="J20" s="66" t="str">
        <f aca="false">IF(C20&gt;$B$9*$B$13,"BREACH","OK")</f>
        <v>OK</v>
      </c>
      <c r="K20" s="69" t="n">
        <f aca="false">IF(AND(I20=0,J20="OK"),1,0)</f>
        <v>0</v>
      </c>
      <c r="L20" s="66" t="str">
        <f aca="false">IF(K20=1,A20,"")</f>
        <v/>
      </c>
    </row>
    <row r="21" customFormat="false" ht="15" hidden="false" customHeight="false" outlineLevel="0" collapsed="false">
      <c r="A21" s="97" t="n">
        <f aca="false">ASSUMPTIONS!$E$63+(ROW()-16)*ASSUMPTIONS!$E$64</f>
        <v>3500</v>
      </c>
      <c r="B21" s="69" t="n">
        <f aca="false">COUNTIF(13W_FORECAST!$C$60:$O$60,"&lt;"&amp;$A21)</f>
        <v>0</v>
      </c>
      <c r="C21" s="66" t="n">
        <f aca="false">MAX(0,$A21-MIN(13W_FORECAST!$C$60:$O$60))</f>
        <v>0</v>
      </c>
      <c r="D21" s="68" t="n">
        <f aca="false">$B$4*$B$8*SUMPRODUCT((($A21-13W_FORECAST!$C$60:$O$60)+ABS($A21-13W_FORECAST!$C$60:$O$60))/2)</f>
        <v>0</v>
      </c>
      <c r="E21" s="66" t="n">
        <f aca="false">SUMPRODUCT(((13W_FORECAST!$C$60:$O$60-$A21-$B$7)+ABS(13W_FORECAST!$C$60:$O$60-$A21-$B$7))/2)/13</f>
        <v>1380.26923076923</v>
      </c>
      <c r="F21" s="68" t="n">
        <f aca="false">$B$5*$B$6*$B$8*SUMPRODUCT(((13W_FORECAST!$C$60:$O$60-$A21-$B$7)+ABS(13W_FORECAST!$C$60:$O$60-$A21-$B$7))/2)</f>
        <v>6.88243835616438</v>
      </c>
      <c r="G21" s="68" t="n">
        <f aca="false">D21-F21</f>
        <v>-6.88243835616438</v>
      </c>
      <c r="H21" s="66" t="n">
        <f aca="false">MIN(13W_FORECAST!$C$60:$O$60)-$A21+$B$9</f>
        <v>7729.33960720131</v>
      </c>
      <c r="I21" s="66" t="n">
        <f aca="false">MAX(0,$B$11-($A21-$B$10))</f>
        <v>0</v>
      </c>
      <c r="J21" s="66" t="str">
        <f aca="false">IF(C21&gt;$B$9*$B$13,"BREACH","OK")</f>
        <v>OK</v>
      </c>
      <c r="K21" s="69" t="n">
        <f aca="false">IF(AND(I21=0,J21="OK"),1,0)</f>
        <v>1</v>
      </c>
      <c r="L21" s="66" t="n">
        <f aca="false">IF(K21=1,A21,"")</f>
        <v>3500</v>
      </c>
    </row>
    <row r="22" customFormat="false" ht="15" hidden="false" customHeight="false" outlineLevel="0" collapsed="false">
      <c r="A22" s="97" t="n">
        <f aca="false">ASSUMPTIONS!$E$63+(ROW()-16)*ASSUMPTIONS!$E$64</f>
        <v>4000</v>
      </c>
      <c r="B22" s="69" t="n">
        <f aca="false">COUNTIF(13W_FORECAST!$C$60:$O$60,"&lt;"&amp;$A22)</f>
        <v>0</v>
      </c>
      <c r="C22" s="66" t="n">
        <f aca="false">MAX(0,$A22-MIN(13W_FORECAST!$C$60:$O$60))</f>
        <v>0</v>
      </c>
      <c r="D22" s="68" t="n">
        <f aca="false">$B$4*$B$8*SUMPRODUCT((($A22-13W_FORECAST!$C$60:$O$60)+ABS($A22-13W_FORECAST!$C$60:$O$60))/2)</f>
        <v>0</v>
      </c>
      <c r="E22" s="66" t="n">
        <f aca="false">SUMPRODUCT(((13W_FORECAST!$C$60:$O$60-$A22-$B$7)+ABS(13W_FORECAST!$C$60:$O$60-$A22-$B$7))/2)/13</f>
        <v>880.269230769231</v>
      </c>
      <c r="F22" s="68" t="n">
        <f aca="false">$B$5*$B$6*$B$8*SUMPRODUCT(((13W_FORECAST!$C$60:$O$60-$A22-$B$7)+ABS(13W_FORECAST!$C$60:$O$60-$A22-$B$7))/2)</f>
        <v>4.38928767123288</v>
      </c>
      <c r="G22" s="68" t="n">
        <f aca="false">D22-F22</f>
        <v>-4.38928767123288</v>
      </c>
      <c r="H22" s="66" t="n">
        <f aca="false">MIN(13W_FORECAST!$C$60:$O$60)-$A22+$B$9</f>
        <v>7229.33960720131</v>
      </c>
      <c r="I22" s="66" t="n">
        <f aca="false">MAX(0,$B$11-($A22-$B$10))</f>
        <v>0</v>
      </c>
      <c r="J22" s="66" t="str">
        <f aca="false">IF(C22&gt;$B$9*$B$13,"BREACH","OK")</f>
        <v>OK</v>
      </c>
      <c r="K22" s="69" t="n">
        <f aca="false">IF(AND(I22=0,J22="OK"),1,0)</f>
        <v>1</v>
      </c>
      <c r="L22" s="66" t="n">
        <f aca="false">IF(K22=1,A22,"")</f>
        <v>4000</v>
      </c>
    </row>
    <row r="23" customFormat="false" ht="15" hidden="false" customHeight="false" outlineLevel="0" collapsed="false">
      <c r="A23" s="97" t="n">
        <f aca="false">ASSUMPTIONS!$E$63+(ROW()-16)*ASSUMPTIONS!$E$64</f>
        <v>4500</v>
      </c>
      <c r="B23" s="69" t="n">
        <f aca="false">COUNTIF(13W_FORECAST!$C$60:$O$60,"&lt;"&amp;$A23)</f>
        <v>3</v>
      </c>
      <c r="C23" s="66" t="n">
        <f aca="false">MAX(0,$A23-MIN(13W_FORECAST!$C$60:$O$60))</f>
        <v>296.192307692308</v>
      </c>
      <c r="D23" s="68" t="n">
        <f aca="false">$B$4*$B$8*SUMPRODUCT((($A23-13W_FORECAST!$C$60:$O$60)+ABS($A23-13W_FORECAST!$C$60:$O$60))/2)</f>
        <v>0.292647699332631</v>
      </c>
      <c r="E23" s="66" t="n">
        <f aca="false">SUMPRODUCT(((13W_FORECAST!$C$60:$O$60-$A23-$B$7)+ABS(13W_FORECAST!$C$60:$O$60-$A23-$B$7))/2)/13</f>
        <v>407.567061143984</v>
      </c>
      <c r="F23" s="68" t="n">
        <f aca="false">$B$5*$B$6*$B$8*SUMPRODUCT(((13W_FORECAST!$C$60:$O$60-$A23-$B$7)+ABS(13W_FORECAST!$C$60:$O$60-$A23-$B$7))/2)</f>
        <v>2.03225219529329</v>
      </c>
      <c r="G23" s="68" t="n">
        <f aca="false">D23-F23</f>
        <v>-1.73960449596066</v>
      </c>
      <c r="H23" s="66" t="n">
        <f aca="false">MIN(13W_FORECAST!$C$60:$O$60)-$A23+$B$9</f>
        <v>6729.33960720131</v>
      </c>
      <c r="I23" s="66" t="n">
        <f aca="false">MAX(0,$B$11-($A23-$B$10))</f>
        <v>0</v>
      </c>
      <c r="J23" s="66" t="str">
        <f aca="false">IF(C23&gt;$B$9*$B$13,"BREACH","OK")</f>
        <v>OK</v>
      </c>
      <c r="K23" s="69" t="n">
        <f aca="false">IF(AND(I23=0,J23="OK"),1,0)</f>
        <v>1</v>
      </c>
      <c r="L23" s="66" t="n">
        <f aca="false">IF(K23=1,A23,"")</f>
        <v>4500</v>
      </c>
    </row>
    <row r="24" customFormat="false" ht="15" hidden="false" customHeight="false" outlineLevel="0" collapsed="false">
      <c r="A24" s="86" t="n">
        <f aca="false">B12</f>
        <v>3011.58076923077</v>
      </c>
      <c r="B24" s="99" t="n">
        <f aca="false">COUNTIF(13W_FORECAST!$C$60:$O$60,"&lt;"&amp;$A24)</f>
        <v>0</v>
      </c>
      <c r="C24" s="78" t="n">
        <f aca="false">MAX(0,$A24-MIN(13W_FORECAST!$C$60:$O$60))</f>
        <v>0</v>
      </c>
      <c r="D24" s="94" t="n">
        <f aca="false">$B$4*$B$8*SUMPRODUCT((($A24-13W_FORECAST!$C$60:$O$60)+ABS($A24-13W_FORECAST!$C$60:$O$60))/2)</f>
        <v>0</v>
      </c>
      <c r="E24" s="78" t="n">
        <f aca="false">SUMPRODUCT(((13W_FORECAST!$C$60:$O$60-$A24-$B$7)+ABS(13W_FORECAST!$C$60:$O$60-$A24-$B$7))/2)/13</f>
        <v>1868.68846153846</v>
      </c>
      <c r="F24" s="94" t="n">
        <f aca="false">$B$5*$B$6*$B$8*SUMPRODUCT(((13W_FORECAST!$C$60:$O$60-$A24-$B$7)+ABS(13W_FORECAST!$C$60:$O$60-$A24-$B$7))/2)</f>
        <v>9.31784383561644</v>
      </c>
      <c r="G24" s="94" t="n">
        <f aca="false">D24-F24</f>
        <v>-9.31784383561644</v>
      </c>
      <c r="H24" s="78" t="n">
        <f aca="false">MIN(13W_FORECAST!$C$60:$O$60)-$A24+$B$9</f>
        <v>8217.75883797054</v>
      </c>
      <c r="I24" s="78" t="n">
        <f aca="false">MAX(0,$B$11-($A24-$B$10))</f>
        <v>415.520046659643</v>
      </c>
      <c r="J24" s="78" t="str">
        <f aca="false">IF(C24&gt;$B$9*$B$13,"BREACH","OK")</f>
        <v>OK</v>
      </c>
      <c r="K24" s="99" t="n">
        <f aca="false">IF(AND(I24=0,J24="OK"),1,0)</f>
        <v>0</v>
      </c>
      <c r="L24" s="78" t="str">
        <f aca="false">IF(K24=1,A24,"")</f>
        <v/>
      </c>
      <c r="P24" s="5" t="s">
        <v>1043</v>
      </c>
    </row>
    <row r="26" customFormat="false" ht="15" hidden="false" customHeight="false" outlineLevel="0" collapsed="false">
      <c r="A26" s="22" t="s">
        <v>1044</v>
      </c>
      <c r="B26" s="90" t="n">
        <f aca="false">IF(COUNT(L16:L23)=0,"None feasible",MIN(L16:L23))</f>
        <v>3500</v>
      </c>
      <c r="C26" s="5" t="s">
        <v>1045</v>
      </c>
    </row>
    <row r="27" customFormat="false" ht="15" hidden="false" customHeight="false" outlineLevel="0" collapsed="false">
      <c r="A27" s="32" t="s">
        <v>1046</v>
      </c>
      <c r="B27" s="100" t="n">
        <f aca="false">IFERROR(INDEX(G16:G23,MATCH(B26,A16:A23,0)),"")</f>
        <v>-6.88243835616438</v>
      </c>
    </row>
    <row r="29" customFormat="false" ht="15" hidden="false" customHeight="false" outlineLevel="0" collapsed="false">
      <c r="A29" s="7" t="s">
        <v>1047</v>
      </c>
      <c r="B29" s="8"/>
      <c r="C29" s="8"/>
      <c r="D29" s="8"/>
      <c r="E29" s="8"/>
      <c r="F29" s="8"/>
      <c r="G29" s="8"/>
      <c r="H29" s="8"/>
      <c r="I29" s="8"/>
      <c r="J29" s="8"/>
      <c r="K29" s="8"/>
      <c r="L29" s="8"/>
      <c r="M29" s="8"/>
      <c r="N29" s="8"/>
      <c r="O29" s="8"/>
      <c r="P29" s="8"/>
    </row>
    <row r="30" customFormat="false" ht="15" hidden="false" customHeight="false" outlineLevel="0" collapsed="false">
      <c r="A30" s="32" t="s">
        <v>1048</v>
      </c>
      <c r="B30" s="100" t="n">
        <f aca="false">(B12-B10)*(B4-B5)*B8*13</f>
        <v>16.351667260274</v>
      </c>
      <c r="C30" s="5" t="s">
        <v>840</v>
      </c>
    </row>
    <row r="31" customFormat="false" ht="15" hidden="false" customHeight="false" outlineLevel="0" collapsed="false">
      <c r="A31" s="32" t="s">
        <v>1049</v>
      </c>
      <c r="B31" s="100" t="n">
        <f aca="false">F24</f>
        <v>9.31784383561644</v>
      </c>
      <c r="C31" s="5"/>
    </row>
    <row r="32" customFormat="false" ht="15" hidden="false" customHeight="false" outlineLevel="0" collapsed="false">
      <c r="A32" s="32" t="s">
        <v>1050</v>
      </c>
      <c r="B32" s="100" t="n">
        <f aca="false">D24</f>
        <v>0</v>
      </c>
      <c r="C32" s="5"/>
    </row>
    <row r="33" customFormat="false" ht="15" hidden="false" customHeight="false" outlineLevel="0" collapsed="false">
      <c r="A33" s="32" t="s">
        <v>1051</v>
      </c>
      <c r="B33" s="100" t="n">
        <f aca="false">I24</f>
        <v>415.520046659643</v>
      </c>
      <c r="C33" s="5" t="s">
        <v>1052</v>
      </c>
    </row>
    <row r="34" customFormat="false" ht="15" hidden="false" customHeight="false" outlineLevel="0" collapsed="false">
      <c r="A34" s="32" t="s">
        <v>1053</v>
      </c>
      <c r="B34" s="100" t="n">
        <f aca="false">G24</f>
        <v>-9.31784383561644</v>
      </c>
      <c r="C34" s="5"/>
    </row>
    <row r="36" customFormat="false" ht="15" hidden="false" customHeight="false" outlineLevel="0" collapsed="false">
      <c r="A36" s="7" t="s">
        <v>1054</v>
      </c>
      <c r="B36" s="8"/>
      <c r="C36" s="8"/>
      <c r="D36" s="8"/>
      <c r="E36" s="8"/>
      <c r="F36" s="8"/>
      <c r="G36" s="8"/>
      <c r="H36" s="8"/>
      <c r="I36" s="8"/>
      <c r="J36" s="8"/>
      <c r="K36" s="8"/>
      <c r="L36" s="8"/>
      <c r="M36" s="8"/>
      <c r="N36" s="8"/>
      <c r="O36" s="8"/>
      <c r="P36" s="8"/>
    </row>
    <row r="37" customFormat="false" ht="15" hidden="false" customHeight="false" outlineLevel="0" collapsed="false">
      <c r="A37" s="22" t="s">
        <v>1055</v>
      </c>
      <c r="B37" s="101" t="n">
        <f aca="false">ASSUMPTIONS!$E$65+0*ASSUMPTIONS!$E$66</f>
        <v>0.02</v>
      </c>
      <c r="C37" s="101" t="n">
        <f aca="false">ASSUMPTIONS!$E$65+1*ASSUMPTIONS!$E$66</f>
        <v>0.03</v>
      </c>
      <c r="D37" s="101" t="n">
        <f aca="false">ASSUMPTIONS!$E$65+2*ASSUMPTIONS!$E$66</f>
        <v>0.04</v>
      </c>
      <c r="E37" s="101" t="n">
        <f aca="false">ASSUMPTIONS!$E$65+3*ASSUMPTIONS!$E$66</f>
        <v>0.05</v>
      </c>
      <c r="F37" s="101" t="n">
        <f aca="false">ASSUMPTIONS!$E$65+4*ASSUMPTIONS!$E$66</f>
        <v>0.06</v>
      </c>
      <c r="G37" s="101" t="n">
        <f aca="false">ASSUMPTIONS!$E$65+5*ASSUMPTIONS!$E$66</f>
        <v>0.07</v>
      </c>
    </row>
    <row r="38" customFormat="false" ht="15" hidden="false" customHeight="false" outlineLevel="0" collapsed="false">
      <c r="A38" s="86" t="n">
        <f aca="false">A16</f>
        <v>1000</v>
      </c>
      <c r="B38" s="100" t="n">
        <f aca="false">B$37*$B$8*SUMPRODUCT((($A38-13W_FORECAST!$C$60:$O$60)+ABS($A38-13W_FORECAST!$C$60:$O$60))/2)-$B$5*$B$6*$B$8*SUMPRODUCT(((13W_FORECAST!$C$60:$O$60-$A38-$B$7)+ABS(13W_FORECAST!$C$60:$O$60-$A38-$B$7))/2)</f>
        <v>-19.3481917808219</v>
      </c>
      <c r="C38" s="100" t="n">
        <f aca="false">C$37*$B$8*SUMPRODUCT((($A38-13W_FORECAST!$C$60:$O$60)+ABS($A38-13W_FORECAST!$C$60:$O$60))/2)-$B$5*$B$6*$B$8*SUMPRODUCT(((13W_FORECAST!$C$60:$O$60-$A38-$B$7)+ABS(13W_FORECAST!$C$60:$O$60-$A38-$B$7))/2)</f>
        <v>-19.3481917808219</v>
      </c>
      <c r="D38" s="100" t="n">
        <f aca="false">D$37*$B$8*SUMPRODUCT((($A38-13W_FORECAST!$C$60:$O$60)+ABS($A38-13W_FORECAST!$C$60:$O$60))/2)-$B$5*$B$6*$B$8*SUMPRODUCT(((13W_FORECAST!$C$60:$O$60-$A38-$B$7)+ABS(13W_FORECAST!$C$60:$O$60-$A38-$B$7))/2)</f>
        <v>-19.3481917808219</v>
      </c>
      <c r="E38" s="100" t="n">
        <f aca="false">E$37*$B$8*SUMPRODUCT((($A38-13W_FORECAST!$C$60:$O$60)+ABS($A38-13W_FORECAST!$C$60:$O$60))/2)-$B$5*$B$6*$B$8*SUMPRODUCT(((13W_FORECAST!$C$60:$O$60-$A38-$B$7)+ABS(13W_FORECAST!$C$60:$O$60-$A38-$B$7))/2)</f>
        <v>-19.3481917808219</v>
      </c>
      <c r="F38" s="100" t="n">
        <f aca="false">F$37*$B$8*SUMPRODUCT((($A38-13W_FORECAST!$C$60:$O$60)+ABS($A38-13W_FORECAST!$C$60:$O$60))/2)-$B$5*$B$6*$B$8*SUMPRODUCT(((13W_FORECAST!$C$60:$O$60-$A38-$B$7)+ABS(13W_FORECAST!$C$60:$O$60-$A38-$B$7))/2)</f>
        <v>-19.3481917808219</v>
      </c>
      <c r="G38" s="100" t="n">
        <f aca="false">G$37*$B$8*SUMPRODUCT((($A38-13W_FORECAST!$C$60:$O$60)+ABS($A38-13W_FORECAST!$C$60:$O$60))/2)-$B$5*$B$6*$B$8*SUMPRODUCT(((13W_FORECAST!$C$60:$O$60-$A38-$B$7)+ABS(13W_FORECAST!$C$60:$O$60-$A38-$B$7))/2)</f>
        <v>-19.3481917808219</v>
      </c>
    </row>
    <row r="39" customFormat="false" ht="15" hidden="false" customHeight="false" outlineLevel="0" collapsed="false">
      <c r="A39" s="86" t="n">
        <f aca="false">A17</f>
        <v>1500</v>
      </c>
      <c r="B39" s="100" t="n">
        <f aca="false">B$37*$B$8*SUMPRODUCT((($A39-13W_FORECAST!$C$60:$O$60)+ABS($A39-13W_FORECAST!$C$60:$O$60))/2)-$B$5*$B$6*$B$8*SUMPRODUCT(((13W_FORECAST!$C$60:$O$60-$A39-$B$7)+ABS(13W_FORECAST!$C$60:$O$60-$A39-$B$7))/2)</f>
        <v>-16.8550410958904</v>
      </c>
      <c r="C39" s="100" t="n">
        <f aca="false">C$37*$B$8*SUMPRODUCT((($A39-13W_FORECAST!$C$60:$O$60)+ABS($A39-13W_FORECAST!$C$60:$O$60))/2)-$B$5*$B$6*$B$8*SUMPRODUCT(((13W_FORECAST!$C$60:$O$60-$A39-$B$7)+ABS(13W_FORECAST!$C$60:$O$60-$A39-$B$7))/2)</f>
        <v>-16.8550410958904</v>
      </c>
      <c r="D39" s="100" t="n">
        <f aca="false">D$37*$B$8*SUMPRODUCT((($A39-13W_FORECAST!$C$60:$O$60)+ABS($A39-13W_FORECAST!$C$60:$O$60))/2)-$B$5*$B$6*$B$8*SUMPRODUCT(((13W_FORECAST!$C$60:$O$60-$A39-$B$7)+ABS(13W_FORECAST!$C$60:$O$60-$A39-$B$7))/2)</f>
        <v>-16.8550410958904</v>
      </c>
      <c r="E39" s="100" t="n">
        <f aca="false">E$37*$B$8*SUMPRODUCT((($A39-13W_FORECAST!$C$60:$O$60)+ABS($A39-13W_FORECAST!$C$60:$O$60))/2)-$B$5*$B$6*$B$8*SUMPRODUCT(((13W_FORECAST!$C$60:$O$60-$A39-$B$7)+ABS(13W_FORECAST!$C$60:$O$60-$A39-$B$7))/2)</f>
        <v>-16.8550410958904</v>
      </c>
      <c r="F39" s="100" t="n">
        <f aca="false">F$37*$B$8*SUMPRODUCT((($A39-13W_FORECAST!$C$60:$O$60)+ABS($A39-13W_FORECAST!$C$60:$O$60))/2)-$B$5*$B$6*$B$8*SUMPRODUCT(((13W_FORECAST!$C$60:$O$60-$A39-$B$7)+ABS(13W_FORECAST!$C$60:$O$60-$A39-$B$7))/2)</f>
        <v>-16.8550410958904</v>
      </c>
      <c r="G39" s="100" t="n">
        <f aca="false">G$37*$B$8*SUMPRODUCT((($A39-13W_FORECAST!$C$60:$O$60)+ABS($A39-13W_FORECAST!$C$60:$O$60))/2)-$B$5*$B$6*$B$8*SUMPRODUCT(((13W_FORECAST!$C$60:$O$60-$A39-$B$7)+ABS(13W_FORECAST!$C$60:$O$60-$A39-$B$7))/2)</f>
        <v>-16.8550410958904</v>
      </c>
    </row>
    <row r="40" customFormat="false" ht="15" hidden="false" customHeight="false" outlineLevel="0" collapsed="false">
      <c r="A40" s="86" t="n">
        <f aca="false">A18</f>
        <v>2000</v>
      </c>
      <c r="B40" s="100" t="n">
        <f aca="false">B$37*$B$8*SUMPRODUCT((($A40-13W_FORECAST!$C$60:$O$60)+ABS($A40-13W_FORECAST!$C$60:$O$60))/2)-$B$5*$B$6*$B$8*SUMPRODUCT(((13W_FORECAST!$C$60:$O$60-$A40-$B$7)+ABS(13W_FORECAST!$C$60:$O$60-$A40-$B$7))/2)</f>
        <v>-14.3618904109589</v>
      </c>
      <c r="C40" s="100" t="n">
        <f aca="false">C$37*$B$8*SUMPRODUCT((($A40-13W_FORECAST!$C$60:$O$60)+ABS($A40-13W_FORECAST!$C$60:$O$60))/2)-$B$5*$B$6*$B$8*SUMPRODUCT(((13W_FORECAST!$C$60:$O$60-$A40-$B$7)+ABS(13W_FORECAST!$C$60:$O$60-$A40-$B$7))/2)</f>
        <v>-14.3618904109589</v>
      </c>
      <c r="D40" s="100" t="n">
        <f aca="false">D$37*$B$8*SUMPRODUCT((($A40-13W_FORECAST!$C$60:$O$60)+ABS($A40-13W_FORECAST!$C$60:$O$60))/2)-$B$5*$B$6*$B$8*SUMPRODUCT(((13W_FORECAST!$C$60:$O$60-$A40-$B$7)+ABS(13W_FORECAST!$C$60:$O$60-$A40-$B$7))/2)</f>
        <v>-14.3618904109589</v>
      </c>
      <c r="E40" s="100" t="n">
        <f aca="false">E$37*$B$8*SUMPRODUCT((($A40-13W_FORECAST!$C$60:$O$60)+ABS($A40-13W_FORECAST!$C$60:$O$60))/2)-$B$5*$B$6*$B$8*SUMPRODUCT(((13W_FORECAST!$C$60:$O$60-$A40-$B$7)+ABS(13W_FORECAST!$C$60:$O$60-$A40-$B$7))/2)</f>
        <v>-14.3618904109589</v>
      </c>
      <c r="F40" s="100" t="n">
        <f aca="false">F$37*$B$8*SUMPRODUCT((($A40-13W_FORECAST!$C$60:$O$60)+ABS($A40-13W_FORECAST!$C$60:$O$60))/2)-$B$5*$B$6*$B$8*SUMPRODUCT(((13W_FORECAST!$C$60:$O$60-$A40-$B$7)+ABS(13W_FORECAST!$C$60:$O$60-$A40-$B$7))/2)</f>
        <v>-14.3618904109589</v>
      </c>
      <c r="G40" s="100" t="n">
        <f aca="false">G$37*$B$8*SUMPRODUCT((($A40-13W_FORECAST!$C$60:$O$60)+ABS($A40-13W_FORECAST!$C$60:$O$60))/2)-$B$5*$B$6*$B$8*SUMPRODUCT(((13W_FORECAST!$C$60:$O$60-$A40-$B$7)+ABS(13W_FORECAST!$C$60:$O$60-$A40-$B$7))/2)</f>
        <v>-14.3618904109589</v>
      </c>
    </row>
    <row r="41" customFormat="false" ht="15" hidden="false" customHeight="false" outlineLevel="0" collapsed="false">
      <c r="A41" s="86" t="n">
        <f aca="false">A19</f>
        <v>2500</v>
      </c>
      <c r="B41" s="100" t="n">
        <f aca="false">B$37*$B$8*SUMPRODUCT((($A41-13W_FORECAST!$C$60:$O$60)+ABS($A41-13W_FORECAST!$C$60:$O$60))/2)-$B$5*$B$6*$B$8*SUMPRODUCT(((13W_FORECAST!$C$60:$O$60-$A41-$B$7)+ABS(13W_FORECAST!$C$60:$O$60-$A41-$B$7))/2)</f>
        <v>-11.8687397260274</v>
      </c>
      <c r="C41" s="100" t="n">
        <f aca="false">C$37*$B$8*SUMPRODUCT((($A41-13W_FORECAST!$C$60:$O$60)+ABS($A41-13W_FORECAST!$C$60:$O$60))/2)-$B$5*$B$6*$B$8*SUMPRODUCT(((13W_FORECAST!$C$60:$O$60-$A41-$B$7)+ABS(13W_FORECAST!$C$60:$O$60-$A41-$B$7))/2)</f>
        <v>-11.8687397260274</v>
      </c>
      <c r="D41" s="100" t="n">
        <f aca="false">D$37*$B$8*SUMPRODUCT((($A41-13W_FORECAST!$C$60:$O$60)+ABS($A41-13W_FORECAST!$C$60:$O$60))/2)-$B$5*$B$6*$B$8*SUMPRODUCT(((13W_FORECAST!$C$60:$O$60-$A41-$B$7)+ABS(13W_FORECAST!$C$60:$O$60-$A41-$B$7))/2)</f>
        <v>-11.8687397260274</v>
      </c>
      <c r="E41" s="100" t="n">
        <f aca="false">E$37*$B$8*SUMPRODUCT((($A41-13W_FORECAST!$C$60:$O$60)+ABS($A41-13W_FORECAST!$C$60:$O$60))/2)-$B$5*$B$6*$B$8*SUMPRODUCT(((13W_FORECAST!$C$60:$O$60-$A41-$B$7)+ABS(13W_FORECAST!$C$60:$O$60-$A41-$B$7))/2)</f>
        <v>-11.8687397260274</v>
      </c>
      <c r="F41" s="100" t="n">
        <f aca="false">F$37*$B$8*SUMPRODUCT((($A41-13W_FORECAST!$C$60:$O$60)+ABS($A41-13W_FORECAST!$C$60:$O$60))/2)-$B$5*$B$6*$B$8*SUMPRODUCT(((13W_FORECAST!$C$60:$O$60-$A41-$B$7)+ABS(13W_FORECAST!$C$60:$O$60-$A41-$B$7))/2)</f>
        <v>-11.8687397260274</v>
      </c>
      <c r="G41" s="100" t="n">
        <f aca="false">G$37*$B$8*SUMPRODUCT((($A41-13W_FORECAST!$C$60:$O$60)+ABS($A41-13W_FORECAST!$C$60:$O$60))/2)-$B$5*$B$6*$B$8*SUMPRODUCT(((13W_FORECAST!$C$60:$O$60-$A41-$B$7)+ABS(13W_FORECAST!$C$60:$O$60-$A41-$B$7))/2)</f>
        <v>-11.8687397260274</v>
      </c>
    </row>
    <row r="42" customFormat="false" ht="15" hidden="false" customHeight="false" outlineLevel="0" collapsed="false">
      <c r="A42" s="86" t="n">
        <f aca="false">A20</f>
        <v>3000</v>
      </c>
      <c r="B42" s="100" t="n">
        <f aca="false">B$37*$B$8*SUMPRODUCT((($A42-13W_FORECAST!$C$60:$O$60)+ABS($A42-13W_FORECAST!$C$60:$O$60))/2)-$B$5*$B$6*$B$8*SUMPRODUCT(((13W_FORECAST!$C$60:$O$60-$A42-$B$7)+ABS(13W_FORECAST!$C$60:$O$60-$A42-$B$7))/2)</f>
        <v>-9.37558904109589</v>
      </c>
      <c r="C42" s="100" t="n">
        <f aca="false">C$37*$B$8*SUMPRODUCT((($A42-13W_FORECAST!$C$60:$O$60)+ABS($A42-13W_FORECAST!$C$60:$O$60))/2)-$B$5*$B$6*$B$8*SUMPRODUCT(((13W_FORECAST!$C$60:$O$60-$A42-$B$7)+ABS(13W_FORECAST!$C$60:$O$60-$A42-$B$7))/2)</f>
        <v>-9.37558904109589</v>
      </c>
      <c r="D42" s="100" t="n">
        <f aca="false">D$37*$B$8*SUMPRODUCT((($A42-13W_FORECAST!$C$60:$O$60)+ABS($A42-13W_FORECAST!$C$60:$O$60))/2)-$B$5*$B$6*$B$8*SUMPRODUCT(((13W_FORECAST!$C$60:$O$60-$A42-$B$7)+ABS(13W_FORECAST!$C$60:$O$60-$A42-$B$7))/2)</f>
        <v>-9.37558904109589</v>
      </c>
      <c r="E42" s="100" t="n">
        <f aca="false">E$37*$B$8*SUMPRODUCT((($A42-13W_FORECAST!$C$60:$O$60)+ABS($A42-13W_FORECAST!$C$60:$O$60))/2)-$B$5*$B$6*$B$8*SUMPRODUCT(((13W_FORECAST!$C$60:$O$60-$A42-$B$7)+ABS(13W_FORECAST!$C$60:$O$60-$A42-$B$7))/2)</f>
        <v>-9.37558904109589</v>
      </c>
      <c r="F42" s="100" t="n">
        <f aca="false">F$37*$B$8*SUMPRODUCT((($A42-13W_FORECAST!$C$60:$O$60)+ABS($A42-13W_FORECAST!$C$60:$O$60))/2)-$B$5*$B$6*$B$8*SUMPRODUCT(((13W_FORECAST!$C$60:$O$60-$A42-$B$7)+ABS(13W_FORECAST!$C$60:$O$60-$A42-$B$7))/2)</f>
        <v>-9.37558904109589</v>
      </c>
      <c r="G42" s="100" t="n">
        <f aca="false">G$37*$B$8*SUMPRODUCT((($A42-13W_FORECAST!$C$60:$O$60)+ABS($A42-13W_FORECAST!$C$60:$O$60))/2)-$B$5*$B$6*$B$8*SUMPRODUCT(((13W_FORECAST!$C$60:$O$60-$A42-$B$7)+ABS(13W_FORECAST!$C$60:$O$60-$A42-$B$7))/2)</f>
        <v>-9.37558904109589</v>
      </c>
    </row>
    <row r="43" customFormat="false" ht="15" hidden="false" customHeight="false" outlineLevel="0" collapsed="false">
      <c r="A43" s="86" t="n">
        <f aca="false">A21</f>
        <v>3500</v>
      </c>
      <c r="B43" s="100" t="n">
        <f aca="false">B$37*$B$8*SUMPRODUCT((($A43-13W_FORECAST!$C$60:$O$60)+ABS($A43-13W_FORECAST!$C$60:$O$60))/2)-$B$5*$B$6*$B$8*SUMPRODUCT(((13W_FORECAST!$C$60:$O$60-$A43-$B$7)+ABS(13W_FORECAST!$C$60:$O$60-$A43-$B$7))/2)</f>
        <v>-6.88243835616438</v>
      </c>
      <c r="C43" s="100" t="n">
        <f aca="false">C$37*$B$8*SUMPRODUCT((($A43-13W_FORECAST!$C$60:$O$60)+ABS($A43-13W_FORECAST!$C$60:$O$60))/2)-$B$5*$B$6*$B$8*SUMPRODUCT(((13W_FORECAST!$C$60:$O$60-$A43-$B$7)+ABS(13W_FORECAST!$C$60:$O$60-$A43-$B$7))/2)</f>
        <v>-6.88243835616438</v>
      </c>
      <c r="D43" s="100" t="n">
        <f aca="false">D$37*$B$8*SUMPRODUCT((($A43-13W_FORECAST!$C$60:$O$60)+ABS($A43-13W_FORECAST!$C$60:$O$60))/2)-$B$5*$B$6*$B$8*SUMPRODUCT(((13W_FORECAST!$C$60:$O$60-$A43-$B$7)+ABS(13W_FORECAST!$C$60:$O$60-$A43-$B$7))/2)</f>
        <v>-6.88243835616438</v>
      </c>
      <c r="E43" s="100" t="n">
        <f aca="false">E$37*$B$8*SUMPRODUCT((($A43-13W_FORECAST!$C$60:$O$60)+ABS($A43-13W_FORECAST!$C$60:$O$60))/2)-$B$5*$B$6*$B$8*SUMPRODUCT(((13W_FORECAST!$C$60:$O$60-$A43-$B$7)+ABS(13W_FORECAST!$C$60:$O$60-$A43-$B$7))/2)</f>
        <v>-6.88243835616438</v>
      </c>
      <c r="F43" s="100" t="n">
        <f aca="false">F$37*$B$8*SUMPRODUCT((($A43-13W_FORECAST!$C$60:$O$60)+ABS($A43-13W_FORECAST!$C$60:$O$60))/2)-$B$5*$B$6*$B$8*SUMPRODUCT(((13W_FORECAST!$C$60:$O$60-$A43-$B$7)+ABS(13W_FORECAST!$C$60:$O$60-$A43-$B$7))/2)</f>
        <v>-6.88243835616438</v>
      </c>
      <c r="G43" s="100" t="n">
        <f aca="false">G$37*$B$8*SUMPRODUCT((($A43-13W_FORECAST!$C$60:$O$60)+ABS($A43-13W_FORECAST!$C$60:$O$60))/2)-$B$5*$B$6*$B$8*SUMPRODUCT(((13W_FORECAST!$C$60:$O$60-$A43-$B$7)+ABS(13W_FORECAST!$C$60:$O$60-$A43-$B$7))/2)</f>
        <v>-6.88243835616438</v>
      </c>
    </row>
    <row r="44" customFormat="false" ht="15" hidden="false" customHeight="false" outlineLevel="0" collapsed="false">
      <c r="A44" s="86" t="n">
        <f aca="false">A22</f>
        <v>4000</v>
      </c>
      <c r="B44" s="100" t="n">
        <f aca="false">B$37*$B$8*SUMPRODUCT((($A44-13W_FORECAST!$C$60:$O$60)+ABS($A44-13W_FORECAST!$C$60:$O$60))/2)-$B$5*$B$6*$B$8*SUMPRODUCT(((13W_FORECAST!$C$60:$O$60-$A44-$B$7)+ABS(13W_FORECAST!$C$60:$O$60-$A44-$B$7))/2)</f>
        <v>-4.38928767123288</v>
      </c>
      <c r="C44" s="100" t="n">
        <f aca="false">C$37*$B$8*SUMPRODUCT((($A44-13W_FORECAST!$C$60:$O$60)+ABS($A44-13W_FORECAST!$C$60:$O$60))/2)-$B$5*$B$6*$B$8*SUMPRODUCT(((13W_FORECAST!$C$60:$O$60-$A44-$B$7)+ABS(13W_FORECAST!$C$60:$O$60-$A44-$B$7))/2)</f>
        <v>-4.38928767123288</v>
      </c>
      <c r="D44" s="100" t="n">
        <f aca="false">D$37*$B$8*SUMPRODUCT((($A44-13W_FORECAST!$C$60:$O$60)+ABS($A44-13W_FORECAST!$C$60:$O$60))/2)-$B$5*$B$6*$B$8*SUMPRODUCT(((13W_FORECAST!$C$60:$O$60-$A44-$B$7)+ABS(13W_FORECAST!$C$60:$O$60-$A44-$B$7))/2)</f>
        <v>-4.38928767123288</v>
      </c>
      <c r="E44" s="100" t="n">
        <f aca="false">E$37*$B$8*SUMPRODUCT((($A44-13W_FORECAST!$C$60:$O$60)+ABS($A44-13W_FORECAST!$C$60:$O$60))/2)-$B$5*$B$6*$B$8*SUMPRODUCT(((13W_FORECAST!$C$60:$O$60-$A44-$B$7)+ABS(13W_FORECAST!$C$60:$O$60-$A44-$B$7))/2)</f>
        <v>-4.38928767123288</v>
      </c>
      <c r="F44" s="100" t="n">
        <f aca="false">F$37*$B$8*SUMPRODUCT((($A44-13W_FORECAST!$C$60:$O$60)+ABS($A44-13W_FORECAST!$C$60:$O$60))/2)-$B$5*$B$6*$B$8*SUMPRODUCT(((13W_FORECAST!$C$60:$O$60-$A44-$B$7)+ABS(13W_FORECAST!$C$60:$O$60-$A44-$B$7))/2)</f>
        <v>-4.38928767123288</v>
      </c>
      <c r="G44" s="100" t="n">
        <f aca="false">G$37*$B$8*SUMPRODUCT((($A44-13W_FORECAST!$C$60:$O$60)+ABS($A44-13W_FORECAST!$C$60:$O$60))/2)-$B$5*$B$6*$B$8*SUMPRODUCT(((13W_FORECAST!$C$60:$O$60-$A44-$B$7)+ABS(13W_FORECAST!$C$60:$O$60-$A44-$B$7))/2)</f>
        <v>-4.38928767123288</v>
      </c>
    </row>
    <row r="45" customFormat="false" ht="15" hidden="false" customHeight="false" outlineLevel="0" collapsed="false">
      <c r="A45" s="86" t="n">
        <f aca="false">A23</f>
        <v>4500</v>
      </c>
      <c r="B45" s="100" t="n">
        <f aca="false">B$37*$B$8*SUMPRODUCT((($A45-13W_FORECAST!$C$60:$O$60)+ABS($A45-13W_FORECAST!$C$60:$O$60))/2)-$B$5*$B$6*$B$8*SUMPRODUCT(((13W_FORECAST!$C$60:$O$60-$A45-$B$7)+ABS(13W_FORECAST!$C$60:$O$60-$A45-$B$7))/2)</f>
        <v>-1.89613698630137</v>
      </c>
      <c r="C45" s="100" t="n">
        <f aca="false">C$37*$B$8*SUMPRODUCT((($A45-13W_FORECAST!$C$60:$O$60)+ABS($A45-13W_FORECAST!$C$60:$O$60))/2)-$B$5*$B$6*$B$8*SUMPRODUCT(((13W_FORECAST!$C$60:$O$60-$A45-$B$7)+ABS(13W_FORECAST!$C$60:$O$60-$A45-$B$7))/2)</f>
        <v>-1.82807938180541</v>
      </c>
      <c r="D45" s="100" t="n">
        <f aca="false">D$37*$B$8*SUMPRODUCT((($A45-13W_FORECAST!$C$60:$O$60)+ABS($A45-13W_FORECAST!$C$60:$O$60))/2)-$B$5*$B$6*$B$8*SUMPRODUCT(((13W_FORECAST!$C$60:$O$60-$A45-$B$7)+ABS(13W_FORECAST!$C$60:$O$60-$A45-$B$7))/2)</f>
        <v>-1.76002177730945</v>
      </c>
      <c r="E45" s="100" t="n">
        <f aca="false">E$37*$B$8*SUMPRODUCT((($A45-13W_FORECAST!$C$60:$O$60)+ABS($A45-13W_FORECAST!$C$60:$O$60))/2)-$B$5*$B$6*$B$8*SUMPRODUCT(((13W_FORECAST!$C$60:$O$60-$A45-$B$7)+ABS(13W_FORECAST!$C$60:$O$60-$A45-$B$7))/2)</f>
        <v>-1.69196417281349</v>
      </c>
      <c r="F45" s="100" t="n">
        <f aca="false">F$37*$B$8*SUMPRODUCT((($A45-13W_FORECAST!$C$60:$O$60)+ABS($A45-13W_FORECAST!$C$60:$O$60))/2)-$B$5*$B$6*$B$8*SUMPRODUCT(((13W_FORECAST!$C$60:$O$60-$A45-$B$7)+ABS(13W_FORECAST!$C$60:$O$60-$A45-$B$7))/2)</f>
        <v>-1.62390656831753</v>
      </c>
      <c r="G45" s="100" t="n">
        <f aca="false">G$37*$B$8*SUMPRODUCT((($A45-13W_FORECAST!$C$60:$O$60)+ABS($A45-13W_FORECAST!$C$60:$O$60))/2)-$B$5*$B$6*$B$8*SUMPRODUCT(((13W_FORECAST!$C$60:$O$60-$A45-$B$7)+ABS(13W_FORECAST!$C$60:$O$60-$A45-$B$7))/2)</f>
        <v>-1.55584896382157</v>
      </c>
    </row>
    <row r="47" customFormat="false" ht="15" hidden="false" customHeight="false" outlineLevel="0" collapsed="false">
      <c r="A47" s="7" t="s">
        <v>1056</v>
      </c>
      <c r="B47" s="8"/>
      <c r="C47" s="8"/>
      <c r="D47" s="8"/>
      <c r="E47" s="8"/>
      <c r="F47" s="8"/>
      <c r="G47" s="8"/>
      <c r="H47" s="8"/>
      <c r="I47" s="8"/>
      <c r="J47" s="8"/>
      <c r="K47" s="8"/>
      <c r="L47" s="8"/>
      <c r="M47" s="8"/>
      <c r="N47" s="8"/>
      <c r="O47" s="8"/>
      <c r="P47" s="8"/>
    </row>
    <row r="48" customFormat="false" ht="15" hidden="false" customHeight="false" outlineLevel="0" collapsed="false">
      <c r="A48" s="22" t="s">
        <v>1057</v>
      </c>
      <c r="B48" s="99" t="n">
        <f aca="false">13W_FORECAST!C8</f>
        <v>1</v>
      </c>
      <c r="C48" s="99" t="n">
        <f aca="false">13W_FORECAST!D8</f>
        <v>2</v>
      </c>
      <c r="D48" s="99" t="n">
        <f aca="false">13W_FORECAST!E8</f>
        <v>3</v>
      </c>
      <c r="E48" s="99" t="n">
        <f aca="false">13W_FORECAST!F8</f>
        <v>4</v>
      </c>
      <c r="F48" s="99" t="n">
        <f aca="false">13W_FORECAST!G8</f>
        <v>5</v>
      </c>
      <c r="G48" s="99" t="n">
        <f aca="false">13W_FORECAST!H8</f>
        <v>6</v>
      </c>
      <c r="H48" s="99" t="n">
        <f aca="false">13W_FORECAST!I8</f>
        <v>7</v>
      </c>
      <c r="I48" s="99" t="n">
        <f aca="false">13W_FORECAST!J8</f>
        <v>8</v>
      </c>
      <c r="J48" s="99" t="n">
        <f aca="false">13W_FORECAST!K8</f>
        <v>9</v>
      </c>
      <c r="K48" s="99" t="n">
        <f aca="false">13W_FORECAST!L8</f>
        <v>10</v>
      </c>
      <c r="L48" s="99" t="n">
        <f aca="false">13W_FORECAST!M8</f>
        <v>11</v>
      </c>
      <c r="M48" s="99" t="n">
        <f aca="false">13W_FORECAST!N8</f>
        <v>12</v>
      </c>
      <c r="N48" s="99" t="n">
        <f aca="false">13W_FORECAST!O8</f>
        <v>13</v>
      </c>
    </row>
    <row r="49" customFormat="false" ht="15" hidden="false" customHeight="false" outlineLevel="0" collapsed="false">
      <c r="A49" s="96" t="n">
        <f aca="false">ASSUMPTIONS!$E$67+0*ASSUMPTIONS!$E$68</f>
        <v>0</v>
      </c>
      <c r="B49" s="86" t="n">
        <f aca="false">13W_FORECAST!C60+LIQUIDITY_DRIVERS!$H$13*(1+ASSUMPTIONS!$E$49*(1-ASSUMPTIONS!$E$50))*(MIN(ASSUMPTIONS!$E$16,ASSUMPTIONS!$E$7*B$48)-MIN($A49,ASSUMPTIONS!$E$7*B$48))</f>
        <v>4203.80769230769</v>
      </c>
      <c r="C49" s="86" t="n">
        <f aca="false">13W_FORECAST!D60+LIQUIDITY_DRIVERS!$H$13*(1+ASSUMPTIONS!$E$49*(1-ASSUMPTIONS!$E$50))*(MIN(ASSUMPTIONS!$E$16,ASSUMPTIONS!$E$7*C$48)-MIN($A49,ASSUMPTIONS!$E$7*C$48))</f>
        <v>4466.61538461539</v>
      </c>
      <c r="D49" s="86" t="n">
        <f aca="false">13W_FORECAST!E60+LIQUIDITY_DRIVERS!$H$13*(1+ASSUMPTIONS!$E$49*(1-ASSUMPTIONS!$E$50))*(MIN(ASSUMPTIONS!$E$16,ASSUMPTIONS!$E$7*D$48)-MIN($A49,ASSUMPTIONS!$E$7*D$48))</f>
        <v>4729.42307692308</v>
      </c>
      <c r="E49" s="86" t="n">
        <f aca="false">13W_FORECAST!F60+LIQUIDITY_DRIVERS!$H$13*(1+ASSUMPTIONS!$E$49*(1-ASSUMPTIONS!$E$50))*(MIN(ASSUMPTIONS!$E$16,ASSUMPTIONS!$E$7*E$48)-MIN($A49,ASSUMPTIONS!$E$7*E$48))</f>
        <v>4992.23076923077</v>
      </c>
      <c r="F49" s="86" t="n">
        <f aca="false">13W_FORECAST!G60+LIQUIDITY_DRIVERS!$H$13*(1+ASSUMPTIONS!$E$49*(1-ASSUMPTIONS!$E$50))*(MIN(ASSUMPTIONS!$E$16,ASSUMPTIONS!$E$7*F$48)-MIN($A49,ASSUMPTIONS!$E$7*F$48))</f>
        <v>4474.70512820513</v>
      </c>
      <c r="G49" s="86" t="n">
        <f aca="false">13W_FORECAST!H60+LIQUIDITY_DRIVERS!$H$13*(1+ASSUMPTIONS!$E$49*(1-ASSUMPTIONS!$E$50))*(MIN(ASSUMPTIONS!$E$16,ASSUMPTIONS!$E$7*G$48)-MIN($A49,ASSUMPTIONS!$E$7*G$48))</f>
        <v>4737.51282051282</v>
      </c>
      <c r="H49" s="86" t="n">
        <f aca="false">13W_FORECAST!I60+LIQUIDITY_DRIVERS!$H$13*(1+ASSUMPTIONS!$E$49*(1-ASSUMPTIONS!$E$50))*(MIN(ASSUMPTIONS!$E$16,ASSUMPTIONS!$E$7*H$48)-MIN($A49,ASSUMPTIONS!$E$7*H$48))</f>
        <v>5000.32051282051</v>
      </c>
      <c r="I49" s="86" t="n">
        <f aca="false">13W_FORECAST!J60+LIQUIDITY_DRIVERS!$H$13*(1+ASSUMPTIONS!$E$49*(1-ASSUMPTIONS!$E$50))*(MIN(ASSUMPTIONS!$E$16,ASSUMPTIONS!$E$7*I$48)-MIN($A49,ASSUMPTIONS!$E$7*I$48))</f>
        <v>5263.1282051282</v>
      </c>
      <c r="J49" s="86" t="n">
        <f aca="false">13W_FORECAST!K60+LIQUIDITY_DRIVERS!$H$13*(1+ASSUMPTIONS!$E$49*(1-ASSUMPTIONS!$E$50))*(MIN(ASSUMPTIONS!$E$16,ASSUMPTIONS!$E$7*J$48)-MIN($A49,ASSUMPTIONS!$E$7*J$48))</f>
        <v>4745.60256410256</v>
      </c>
      <c r="K49" s="86" t="n">
        <f aca="false">13W_FORECAST!L60+LIQUIDITY_DRIVERS!$H$13*(1+ASSUMPTIONS!$E$49*(1-ASSUMPTIONS!$E$50))*(MIN(ASSUMPTIONS!$E$16,ASSUMPTIONS!$E$7*K$48)-MIN($A49,ASSUMPTIONS!$E$7*K$48))</f>
        <v>5008.41025641026</v>
      </c>
      <c r="L49" s="86" t="n">
        <f aca="false">13W_FORECAST!M60+LIQUIDITY_DRIVERS!$H$13*(1+ASSUMPTIONS!$E$49*(1-ASSUMPTIONS!$E$50))*(MIN(ASSUMPTIONS!$E$16,ASSUMPTIONS!$E$7*L$48)-MIN($A49,ASSUMPTIONS!$E$7*L$48))</f>
        <v>5271.21794871795</v>
      </c>
      <c r="M49" s="86" t="n">
        <f aca="false">13W_FORECAST!N60+LIQUIDITY_DRIVERS!$H$13*(1+ASSUMPTIONS!$E$49*(1-ASSUMPTIONS!$E$50))*(MIN(ASSUMPTIONS!$E$16,ASSUMPTIONS!$E$7*M$48)-MIN($A49,ASSUMPTIONS!$E$7*M$48))</f>
        <v>5534.02564102564</v>
      </c>
      <c r="N49" s="86" t="n">
        <f aca="false">13W_FORECAST!O60+LIQUIDITY_DRIVERS!$H$13*(1+ASSUMPTIONS!$E$49*(1-ASSUMPTIONS!$E$50))*(MIN(ASSUMPTIONS!$E$16,ASSUMPTIONS!$E$7*N$48)-MIN($A49,ASSUMPTIONS!$E$7*N$48))</f>
        <v>5016.5</v>
      </c>
    </row>
    <row r="50" customFormat="false" ht="15" hidden="false" customHeight="false" outlineLevel="0" collapsed="false">
      <c r="A50" s="96" t="n">
        <f aca="false">ASSUMPTIONS!$E$67+1*ASSUMPTIONS!$E$68</f>
        <v>7</v>
      </c>
      <c r="B50" s="86" t="n">
        <f aca="false">13W_FORECAST!C60+LIQUIDITY_DRIVERS!$H$13*(1+ASSUMPTIONS!$E$49*(1-ASSUMPTIONS!$E$50))*(MIN(ASSUMPTIONS!$E$16,ASSUMPTIONS!$E$7*B$48)-MIN($A50,ASSUMPTIONS!$E$7*B$48))</f>
        <v>3235.25700737619</v>
      </c>
      <c r="C50" s="86" t="n">
        <f aca="false">13W_FORECAST!D60+LIQUIDITY_DRIVERS!$H$13*(1+ASSUMPTIONS!$E$49*(1-ASSUMPTIONS!$E$50))*(MIN(ASSUMPTIONS!$E$16,ASSUMPTIONS!$E$7*C$48)-MIN($A50,ASSUMPTIONS!$E$7*C$48))</f>
        <v>3498.06469968388</v>
      </c>
      <c r="D50" s="86" t="n">
        <f aca="false">13W_FORECAST!E60+LIQUIDITY_DRIVERS!$H$13*(1+ASSUMPTIONS!$E$49*(1-ASSUMPTIONS!$E$50))*(MIN(ASSUMPTIONS!$E$16,ASSUMPTIONS!$E$7*D$48)-MIN($A50,ASSUMPTIONS!$E$7*D$48))</f>
        <v>3760.87239199157</v>
      </c>
      <c r="E50" s="86" t="n">
        <f aca="false">13W_FORECAST!F60+LIQUIDITY_DRIVERS!$H$13*(1+ASSUMPTIONS!$E$49*(1-ASSUMPTIONS!$E$50))*(MIN(ASSUMPTIONS!$E$16,ASSUMPTIONS!$E$7*E$48)-MIN($A50,ASSUMPTIONS!$E$7*E$48))</f>
        <v>4023.68008429926</v>
      </c>
      <c r="F50" s="86" t="n">
        <f aca="false">13W_FORECAST!G60+LIQUIDITY_DRIVERS!$H$13*(1+ASSUMPTIONS!$E$49*(1-ASSUMPTIONS!$E$50))*(MIN(ASSUMPTIONS!$E$16,ASSUMPTIONS!$E$7*F$48)-MIN($A50,ASSUMPTIONS!$E$7*F$48))</f>
        <v>3506.15444327362</v>
      </c>
      <c r="G50" s="86" t="n">
        <f aca="false">13W_FORECAST!H60+LIQUIDITY_DRIVERS!$H$13*(1+ASSUMPTIONS!$E$49*(1-ASSUMPTIONS!$E$50))*(MIN(ASSUMPTIONS!$E$16,ASSUMPTIONS!$E$7*G$48)-MIN($A50,ASSUMPTIONS!$E$7*G$48))</f>
        <v>3768.96213558131</v>
      </c>
      <c r="H50" s="86" t="n">
        <f aca="false">13W_FORECAST!I60+LIQUIDITY_DRIVERS!$H$13*(1+ASSUMPTIONS!$E$49*(1-ASSUMPTIONS!$E$50))*(MIN(ASSUMPTIONS!$E$16,ASSUMPTIONS!$E$7*H$48)-MIN($A50,ASSUMPTIONS!$E$7*H$48))</f>
        <v>4031.76982788901</v>
      </c>
      <c r="I50" s="86" t="n">
        <f aca="false">13W_FORECAST!J60+LIQUIDITY_DRIVERS!$H$13*(1+ASSUMPTIONS!$E$49*(1-ASSUMPTIONS!$E$50))*(MIN(ASSUMPTIONS!$E$16,ASSUMPTIONS!$E$7*I$48)-MIN($A50,ASSUMPTIONS!$E$7*I$48))</f>
        <v>4294.5775201967</v>
      </c>
      <c r="J50" s="86" t="n">
        <f aca="false">13W_FORECAST!K60+LIQUIDITY_DRIVERS!$H$13*(1+ASSUMPTIONS!$E$49*(1-ASSUMPTIONS!$E$50))*(MIN(ASSUMPTIONS!$E$16,ASSUMPTIONS!$E$7*J$48)-MIN($A50,ASSUMPTIONS!$E$7*J$48))</f>
        <v>3777.05187917106</v>
      </c>
      <c r="K50" s="86" t="n">
        <f aca="false">13W_FORECAST!L60+LIQUIDITY_DRIVERS!$H$13*(1+ASSUMPTIONS!$E$49*(1-ASSUMPTIONS!$E$50))*(MIN(ASSUMPTIONS!$E$16,ASSUMPTIONS!$E$7*K$48)-MIN($A50,ASSUMPTIONS!$E$7*K$48))</f>
        <v>4039.85957147875</v>
      </c>
      <c r="L50" s="86" t="n">
        <f aca="false">13W_FORECAST!M60+LIQUIDITY_DRIVERS!$H$13*(1+ASSUMPTIONS!$E$49*(1-ASSUMPTIONS!$E$50))*(MIN(ASSUMPTIONS!$E$16,ASSUMPTIONS!$E$7*L$48)-MIN($A50,ASSUMPTIONS!$E$7*L$48))</f>
        <v>4302.66726378644</v>
      </c>
      <c r="M50" s="86" t="n">
        <f aca="false">13W_FORECAST!N60+LIQUIDITY_DRIVERS!$H$13*(1+ASSUMPTIONS!$E$49*(1-ASSUMPTIONS!$E$50))*(MIN(ASSUMPTIONS!$E$16,ASSUMPTIONS!$E$7*M$48)-MIN($A50,ASSUMPTIONS!$E$7*M$48))</f>
        <v>4565.47495609413</v>
      </c>
      <c r="N50" s="86" t="n">
        <f aca="false">13W_FORECAST!O60+LIQUIDITY_DRIVERS!$H$13*(1+ASSUMPTIONS!$E$49*(1-ASSUMPTIONS!$E$50))*(MIN(ASSUMPTIONS!$E$16,ASSUMPTIONS!$E$7*N$48)-MIN($A50,ASSUMPTIONS!$E$7*N$48))</f>
        <v>4047.94931506849</v>
      </c>
    </row>
    <row r="51" customFormat="false" ht="15" hidden="false" customHeight="false" outlineLevel="0" collapsed="false">
      <c r="A51" s="96" t="n">
        <f aca="false">ASSUMPTIONS!$E$67+2*ASSUMPTIONS!$E$68</f>
        <v>14</v>
      </c>
      <c r="B51" s="86" t="n">
        <f aca="false">13W_FORECAST!C60+LIQUIDITY_DRIVERS!$H$13*(1+ASSUMPTIONS!$E$49*(1-ASSUMPTIONS!$E$50))*(MIN(ASSUMPTIONS!$E$16,ASSUMPTIONS!$E$7*B$48)-MIN($A51,ASSUMPTIONS!$E$7*B$48))</f>
        <v>3235.25700737619</v>
      </c>
      <c r="C51" s="86" t="n">
        <f aca="false">13W_FORECAST!D60+LIQUIDITY_DRIVERS!$H$13*(1+ASSUMPTIONS!$E$49*(1-ASSUMPTIONS!$E$50))*(MIN(ASSUMPTIONS!$E$16,ASSUMPTIONS!$E$7*C$48)-MIN($A51,ASSUMPTIONS!$E$7*C$48))</f>
        <v>2529.51401475237</v>
      </c>
      <c r="D51" s="86" t="n">
        <f aca="false">13W_FORECAST!E60+LIQUIDITY_DRIVERS!$H$13*(1+ASSUMPTIONS!$E$49*(1-ASSUMPTIONS!$E$50))*(MIN(ASSUMPTIONS!$E$16,ASSUMPTIONS!$E$7*D$48)-MIN($A51,ASSUMPTIONS!$E$7*D$48))</f>
        <v>2792.32170706006</v>
      </c>
      <c r="E51" s="86" t="n">
        <f aca="false">13W_FORECAST!F60+LIQUIDITY_DRIVERS!$H$13*(1+ASSUMPTIONS!$E$49*(1-ASSUMPTIONS!$E$50))*(MIN(ASSUMPTIONS!$E$16,ASSUMPTIONS!$E$7*E$48)-MIN($A51,ASSUMPTIONS!$E$7*E$48))</f>
        <v>3055.12939936776</v>
      </c>
      <c r="F51" s="86" t="n">
        <f aca="false">13W_FORECAST!G60+LIQUIDITY_DRIVERS!$H$13*(1+ASSUMPTIONS!$E$49*(1-ASSUMPTIONS!$E$50))*(MIN(ASSUMPTIONS!$E$16,ASSUMPTIONS!$E$7*F$48)-MIN($A51,ASSUMPTIONS!$E$7*F$48))</f>
        <v>2537.60375834211</v>
      </c>
      <c r="G51" s="86" t="n">
        <f aca="false">13W_FORECAST!H60+LIQUIDITY_DRIVERS!$H$13*(1+ASSUMPTIONS!$E$49*(1-ASSUMPTIONS!$E$50))*(MIN(ASSUMPTIONS!$E$16,ASSUMPTIONS!$E$7*G$48)-MIN($A51,ASSUMPTIONS!$E$7*G$48))</f>
        <v>2800.41145064981</v>
      </c>
      <c r="H51" s="86" t="n">
        <f aca="false">13W_FORECAST!I60+LIQUIDITY_DRIVERS!$H$13*(1+ASSUMPTIONS!$E$49*(1-ASSUMPTIONS!$E$50))*(MIN(ASSUMPTIONS!$E$16,ASSUMPTIONS!$E$7*H$48)-MIN($A51,ASSUMPTIONS!$E$7*H$48))</f>
        <v>3063.2191429575</v>
      </c>
      <c r="I51" s="86" t="n">
        <f aca="false">13W_FORECAST!J60+LIQUIDITY_DRIVERS!$H$13*(1+ASSUMPTIONS!$E$49*(1-ASSUMPTIONS!$E$50))*(MIN(ASSUMPTIONS!$E$16,ASSUMPTIONS!$E$7*I$48)-MIN($A51,ASSUMPTIONS!$E$7*I$48))</f>
        <v>3326.02683526519</v>
      </c>
      <c r="J51" s="86" t="n">
        <f aca="false">13W_FORECAST!K60+LIQUIDITY_DRIVERS!$H$13*(1+ASSUMPTIONS!$E$49*(1-ASSUMPTIONS!$E$50))*(MIN(ASSUMPTIONS!$E$16,ASSUMPTIONS!$E$7*J$48)-MIN($A51,ASSUMPTIONS!$E$7*J$48))</f>
        <v>2808.50119423955</v>
      </c>
      <c r="K51" s="86" t="n">
        <f aca="false">13W_FORECAST!L60+LIQUIDITY_DRIVERS!$H$13*(1+ASSUMPTIONS!$E$49*(1-ASSUMPTIONS!$E$50))*(MIN(ASSUMPTIONS!$E$16,ASSUMPTIONS!$E$7*K$48)-MIN($A51,ASSUMPTIONS!$E$7*K$48))</f>
        <v>3071.30888654724</v>
      </c>
      <c r="L51" s="86" t="n">
        <f aca="false">13W_FORECAST!M60+LIQUIDITY_DRIVERS!$H$13*(1+ASSUMPTIONS!$E$49*(1-ASSUMPTIONS!$E$50))*(MIN(ASSUMPTIONS!$E$16,ASSUMPTIONS!$E$7*L$48)-MIN($A51,ASSUMPTIONS!$E$7*L$48))</f>
        <v>3334.11657885493</v>
      </c>
      <c r="M51" s="86" t="n">
        <f aca="false">13W_FORECAST!N60+LIQUIDITY_DRIVERS!$H$13*(1+ASSUMPTIONS!$E$49*(1-ASSUMPTIONS!$E$50))*(MIN(ASSUMPTIONS!$E$16,ASSUMPTIONS!$E$7*M$48)-MIN($A51,ASSUMPTIONS!$E$7*M$48))</f>
        <v>3596.92427116263</v>
      </c>
      <c r="N51" s="86" t="n">
        <f aca="false">13W_FORECAST!O60+LIQUIDITY_DRIVERS!$H$13*(1+ASSUMPTIONS!$E$49*(1-ASSUMPTIONS!$E$50))*(MIN(ASSUMPTIONS!$E$16,ASSUMPTIONS!$E$7*N$48)-MIN($A51,ASSUMPTIONS!$E$7*N$48))</f>
        <v>3079.39863013699</v>
      </c>
    </row>
    <row r="52" customFormat="false" ht="15" hidden="false" customHeight="false" outlineLevel="0" collapsed="false">
      <c r="A52" s="96" t="n">
        <f aca="false">ASSUMPTIONS!$E$67+3*ASSUMPTIONS!$E$68</f>
        <v>21</v>
      </c>
      <c r="B52" s="86" t="n">
        <f aca="false">13W_FORECAST!C60+LIQUIDITY_DRIVERS!$H$13*(1+ASSUMPTIONS!$E$49*(1-ASSUMPTIONS!$E$50))*(MIN(ASSUMPTIONS!$E$16,ASSUMPTIONS!$E$7*B$48)-MIN($A52,ASSUMPTIONS!$E$7*B$48))</f>
        <v>3235.25700737619</v>
      </c>
      <c r="C52" s="86" t="n">
        <f aca="false">13W_FORECAST!D60+LIQUIDITY_DRIVERS!$H$13*(1+ASSUMPTIONS!$E$49*(1-ASSUMPTIONS!$E$50))*(MIN(ASSUMPTIONS!$E$16,ASSUMPTIONS!$E$7*C$48)-MIN($A52,ASSUMPTIONS!$E$7*C$48))</f>
        <v>2529.51401475237</v>
      </c>
      <c r="D52" s="86" t="n">
        <f aca="false">13W_FORECAST!E60+LIQUIDITY_DRIVERS!$H$13*(1+ASSUMPTIONS!$E$49*(1-ASSUMPTIONS!$E$50))*(MIN(ASSUMPTIONS!$E$16,ASSUMPTIONS!$E$7*D$48)-MIN($A52,ASSUMPTIONS!$E$7*D$48))</f>
        <v>1823.77102212856</v>
      </c>
      <c r="E52" s="86" t="n">
        <f aca="false">13W_FORECAST!F60+LIQUIDITY_DRIVERS!$H$13*(1+ASSUMPTIONS!$E$49*(1-ASSUMPTIONS!$E$50))*(MIN(ASSUMPTIONS!$E$16,ASSUMPTIONS!$E$7*E$48)-MIN($A52,ASSUMPTIONS!$E$7*E$48))</f>
        <v>2086.57871443625</v>
      </c>
      <c r="F52" s="86" t="n">
        <f aca="false">13W_FORECAST!G60+LIQUIDITY_DRIVERS!$H$13*(1+ASSUMPTIONS!$E$49*(1-ASSUMPTIONS!$E$50))*(MIN(ASSUMPTIONS!$E$16,ASSUMPTIONS!$E$7*F$48)-MIN($A52,ASSUMPTIONS!$E$7*F$48))</f>
        <v>1569.05307341061</v>
      </c>
      <c r="G52" s="86" t="n">
        <f aca="false">13W_FORECAST!H60+LIQUIDITY_DRIVERS!$H$13*(1+ASSUMPTIONS!$E$49*(1-ASSUMPTIONS!$E$50))*(MIN(ASSUMPTIONS!$E$16,ASSUMPTIONS!$E$7*G$48)-MIN($A52,ASSUMPTIONS!$E$7*G$48))</f>
        <v>1831.8607657183</v>
      </c>
      <c r="H52" s="86" t="n">
        <f aca="false">13W_FORECAST!I60+LIQUIDITY_DRIVERS!$H$13*(1+ASSUMPTIONS!$E$49*(1-ASSUMPTIONS!$E$50))*(MIN(ASSUMPTIONS!$E$16,ASSUMPTIONS!$E$7*H$48)-MIN($A52,ASSUMPTIONS!$E$7*H$48))</f>
        <v>2094.66845802599</v>
      </c>
      <c r="I52" s="86" t="n">
        <f aca="false">13W_FORECAST!J60+LIQUIDITY_DRIVERS!$H$13*(1+ASSUMPTIONS!$E$49*(1-ASSUMPTIONS!$E$50))*(MIN(ASSUMPTIONS!$E$16,ASSUMPTIONS!$E$7*I$48)-MIN($A52,ASSUMPTIONS!$E$7*I$48))</f>
        <v>2357.47615033368</v>
      </c>
      <c r="J52" s="86" t="n">
        <f aca="false">13W_FORECAST!K60+LIQUIDITY_DRIVERS!$H$13*(1+ASSUMPTIONS!$E$49*(1-ASSUMPTIONS!$E$50))*(MIN(ASSUMPTIONS!$E$16,ASSUMPTIONS!$E$7*J$48)-MIN($A52,ASSUMPTIONS!$E$7*J$48))</f>
        <v>1839.95050930804</v>
      </c>
      <c r="K52" s="86" t="n">
        <f aca="false">13W_FORECAST!L60+LIQUIDITY_DRIVERS!$H$13*(1+ASSUMPTIONS!$E$49*(1-ASSUMPTIONS!$E$50))*(MIN(ASSUMPTIONS!$E$16,ASSUMPTIONS!$E$7*K$48)-MIN($A52,ASSUMPTIONS!$E$7*K$48))</f>
        <v>2102.75820161574</v>
      </c>
      <c r="L52" s="86" t="n">
        <f aca="false">13W_FORECAST!M60+LIQUIDITY_DRIVERS!$H$13*(1+ASSUMPTIONS!$E$49*(1-ASSUMPTIONS!$E$50))*(MIN(ASSUMPTIONS!$E$16,ASSUMPTIONS!$E$7*L$48)-MIN($A52,ASSUMPTIONS!$E$7*L$48))</f>
        <v>2365.56589392343</v>
      </c>
      <c r="M52" s="86" t="n">
        <f aca="false">13W_FORECAST!N60+LIQUIDITY_DRIVERS!$H$13*(1+ASSUMPTIONS!$E$49*(1-ASSUMPTIONS!$E$50))*(MIN(ASSUMPTIONS!$E$16,ASSUMPTIONS!$E$7*M$48)-MIN($A52,ASSUMPTIONS!$E$7*M$48))</f>
        <v>2628.37358623112</v>
      </c>
      <c r="N52" s="86" t="n">
        <f aca="false">13W_FORECAST!O60+LIQUIDITY_DRIVERS!$H$13*(1+ASSUMPTIONS!$E$49*(1-ASSUMPTIONS!$E$50))*(MIN(ASSUMPTIONS!$E$16,ASSUMPTIONS!$E$7*N$48)-MIN($A52,ASSUMPTIONS!$E$7*N$48))</f>
        <v>2110.84794520548</v>
      </c>
    </row>
    <row r="53" customFormat="false" ht="15" hidden="false" customHeight="false" outlineLevel="0" collapsed="false">
      <c r="A53" s="96" t="n">
        <f aca="false">ASSUMPTIONS!$E$67+4*ASSUMPTIONS!$E$68</f>
        <v>28</v>
      </c>
      <c r="B53" s="86" t="n">
        <f aca="false">13W_FORECAST!C60+LIQUIDITY_DRIVERS!$H$13*(1+ASSUMPTIONS!$E$49*(1-ASSUMPTIONS!$E$50))*(MIN(ASSUMPTIONS!$E$16,ASSUMPTIONS!$E$7*B$48)-MIN($A53,ASSUMPTIONS!$E$7*B$48))</f>
        <v>3235.25700737619</v>
      </c>
      <c r="C53" s="86" t="n">
        <f aca="false">13W_FORECAST!D60+LIQUIDITY_DRIVERS!$H$13*(1+ASSUMPTIONS!$E$49*(1-ASSUMPTIONS!$E$50))*(MIN(ASSUMPTIONS!$E$16,ASSUMPTIONS!$E$7*C$48)-MIN($A53,ASSUMPTIONS!$E$7*C$48))</f>
        <v>2529.51401475237</v>
      </c>
      <c r="D53" s="86" t="n">
        <f aca="false">13W_FORECAST!E60+LIQUIDITY_DRIVERS!$H$13*(1+ASSUMPTIONS!$E$49*(1-ASSUMPTIONS!$E$50))*(MIN(ASSUMPTIONS!$E$16,ASSUMPTIONS!$E$7*D$48)-MIN($A53,ASSUMPTIONS!$E$7*D$48))</f>
        <v>1823.77102212856</v>
      </c>
      <c r="E53" s="86" t="n">
        <f aca="false">13W_FORECAST!F60+LIQUIDITY_DRIVERS!$H$13*(1+ASSUMPTIONS!$E$49*(1-ASSUMPTIONS!$E$50))*(MIN(ASSUMPTIONS!$E$16,ASSUMPTIONS!$E$7*E$48)-MIN($A53,ASSUMPTIONS!$E$7*E$48))</f>
        <v>1118.02802950474</v>
      </c>
      <c r="F53" s="86" t="n">
        <f aca="false">13W_FORECAST!G60+LIQUIDITY_DRIVERS!$H$13*(1+ASSUMPTIONS!$E$49*(1-ASSUMPTIONS!$E$50))*(MIN(ASSUMPTIONS!$E$16,ASSUMPTIONS!$E$7*F$48)-MIN($A53,ASSUMPTIONS!$E$7*F$48))</f>
        <v>600.5023884791</v>
      </c>
      <c r="G53" s="86" t="n">
        <f aca="false">13W_FORECAST!H60+LIQUIDITY_DRIVERS!$H$13*(1+ASSUMPTIONS!$E$49*(1-ASSUMPTIONS!$E$50))*(MIN(ASSUMPTIONS!$E$16,ASSUMPTIONS!$E$7*G$48)-MIN($A53,ASSUMPTIONS!$E$7*G$48))</f>
        <v>863.310080786793</v>
      </c>
      <c r="H53" s="86" t="n">
        <f aca="false">13W_FORECAST!I60+LIQUIDITY_DRIVERS!$H$13*(1+ASSUMPTIONS!$E$49*(1-ASSUMPTIONS!$E$50))*(MIN(ASSUMPTIONS!$E$16,ASSUMPTIONS!$E$7*H$48)-MIN($A53,ASSUMPTIONS!$E$7*H$48))</f>
        <v>1126.11777309449</v>
      </c>
      <c r="I53" s="86" t="n">
        <f aca="false">13W_FORECAST!J60+LIQUIDITY_DRIVERS!$H$13*(1+ASSUMPTIONS!$E$49*(1-ASSUMPTIONS!$E$50))*(MIN(ASSUMPTIONS!$E$16,ASSUMPTIONS!$E$7*I$48)-MIN($A53,ASSUMPTIONS!$E$7*I$48))</f>
        <v>1388.92546540218</v>
      </c>
      <c r="J53" s="86" t="n">
        <f aca="false">13W_FORECAST!K60+LIQUIDITY_DRIVERS!$H$13*(1+ASSUMPTIONS!$E$49*(1-ASSUMPTIONS!$E$50))*(MIN(ASSUMPTIONS!$E$16,ASSUMPTIONS!$E$7*J$48)-MIN($A53,ASSUMPTIONS!$E$7*J$48))</f>
        <v>871.399824376535</v>
      </c>
      <c r="K53" s="86" t="n">
        <f aca="false">13W_FORECAST!L60+LIQUIDITY_DRIVERS!$H$13*(1+ASSUMPTIONS!$E$49*(1-ASSUMPTIONS!$E$50))*(MIN(ASSUMPTIONS!$E$16,ASSUMPTIONS!$E$7*K$48)-MIN($A53,ASSUMPTIONS!$E$7*K$48))</f>
        <v>1134.20751668423</v>
      </c>
      <c r="L53" s="86" t="n">
        <f aca="false">13W_FORECAST!M60+LIQUIDITY_DRIVERS!$H$13*(1+ASSUMPTIONS!$E$49*(1-ASSUMPTIONS!$E$50))*(MIN(ASSUMPTIONS!$E$16,ASSUMPTIONS!$E$7*L$48)-MIN($A53,ASSUMPTIONS!$E$7*L$48))</f>
        <v>1397.01520899192</v>
      </c>
      <c r="M53" s="86" t="n">
        <f aca="false">13W_FORECAST!N60+LIQUIDITY_DRIVERS!$H$13*(1+ASSUMPTIONS!$E$49*(1-ASSUMPTIONS!$E$50))*(MIN(ASSUMPTIONS!$E$16,ASSUMPTIONS!$E$7*M$48)-MIN($A53,ASSUMPTIONS!$E$7*M$48))</f>
        <v>1659.82290129961</v>
      </c>
      <c r="N53" s="86" t="n">
        <f aca="false">13W_FORECAST!O60+LIQUIDITY_DRIVERS!$H$13*(1+ASSUMPTIONS!$E$49*(1-ASSUMPTIONS!$E$50))*(MIN(ASSUMPTIONS!$E$16,ASSUMPTIONS!$E$7*N$48)-MIN($A53,ASSUMPTIONS!$E$7*N$48))</f>
        <v>1142.29726027397</v>
      </c>
    </row>
    <row r="54" customFormat="false" ht="15" hidden="false" customHeight="false" outlineLevel="0" collapsed="false">
      <c r="A54" s="96" t="n">
        <f aca="false">ASSUMPTIONS!$E$67+5*ASSUMPTIONS!$E$68</f>
        <v>35</v>
      </c>
      <c r="B54" s="86" t="n">
        <f aca="false">13W_FORECAST!C60+LIQUIDITY_DRIVERS!$H$13*(1+ASSUMPTIONS!$E$49*(1-ASSUMPTIONS!$E$50))*(MIN(ASSUMPTIONS!$E$16,ASSUMPTIONS!$E$7*B$48)-MIN($A54,ASSUMPTIONS!$E$7*B$48))</f>
        <v>3235.25700737619</v>
      </c>
      <c r="C54" s="86" t="n">
        <f aca="false">13W_FORECAST!D60+LIQUIDITY_DRIVERS!$H$13*(1+ASSUMPTIONS!$E$49*(1-ASSUMPTIONS!$E$50))*(MIN(ASSUMPTIONS!$E$16,ASSUMPTIONS!$E$7*C$48)-MIN($A54,ASSUMPTIONS!$E$7*C$48))</f>
        <v>2529.51401475237</v>
      </c>
      <c r="D54" s="86" t="n">
        <f aca="false">13W_FORECAST!E60+LIQUIDITY_DRIVERS!$H$13*(1+ASSUMPTIONS!$E$49*(1-ASSUMPTIONS!$E$50))*(MIN(ASSUMPTIONS!$E$16,ASSUMPTIONS!$E$7*D$48)-MIN($A54,ASSUMPTIONS!$E$7*D$48))</f>
        <v>1823.77102212856</v>
      </c>
      <c r="E54" s="86" t="n">
        <f aca="false">13W_FORECAST!F60+LIQUIDITY_DRIVERS!$H$13*(1+ASSUMPTIONS!$E$49*(1-ASSUMPTIONS!$E$50))*(MIN(ASSUMPTIONS!$E$16,ASSUMPTIONS!$E$7*E$48)-MIN($A54,ASSUMPTIONS!$E$7*E$48))</f>
        <v>1118.02802950474</v>
      </c>
      <c r="F54" s="86" t="n">
        <f aca="false">13W_FORECAST!G60+LIQUIDITY_DRIVERS!$H$13*(1+ASSUMPTIONS!$E$49*(1-ASSUMPTIONS!$E$50))*(MIN(ASSUMPTIONS!$E$16,ASSUMPTIONS!$E$7*F$48)-MIN($A54,ASSUMPTIONS!$E$7*F$48))</f>
        <v>-368.048296452407</v>
      </c>
      <c r="G54" s="86" t="n">
        <f aca="false">13W_FORECAST!H60+LIQUIDITY_DRIVERS!$H$13*(1+ASSUMPTIONS!$E$49*(1-ASSUMPTIONS!$E$50))*(MIN(ASSUMPTIONS!$E$16,ASSUMPTIONS!$E$7*G$48)-MIN($A54,ASSUMPTIONS!$E$7*G$48))</f>
        <v>-105.240604144715</v>
      </c>
      <c r="H54" s="86" t="n">
        <f aca="false">13W_FORECAST!I60+LIQUIDITY_DRIVERS!$H$13*(1+ASSUMPTIONS!$E$49*(1-ASSUMPTIONS!$E$50))*(MIN(ASSUMPTIONS!$E$16,ASSUMPTIONS!$E$7*H$48)-MIN($A54,ASSUMPTIONS!$E$7*H$48))</f>
        <v>157.567088162978</v>
      </c>
      <c r="I54" s="86" t="n">
        <f aca="false">13W_FORECAST!J60+LIQUIDITY_DRIVERS!$H$13*(1+ASSUMPTIONS!$E$49*(1-ASSUMPTIONS!$E$50))*(MIN(ASSUMPTIONS!$E$16,ASSUMPTIONS!$E$7*I$48)-MIN($A54,ASSUMPTIONS!$E$7*I$48))</f>
        <v>420.374780470669</v>
      </c>
      <c r="J54" s="86" t="n">
        <f aca="false">13W_FORECAST!K60+LIQUIDITY_DRIVERS!$H$13*(1+ASSUMPTIONS!$E$49*(1-ASSUMPTIONS!$E$50))*(MIN(ASSUMPTIONS!$E$16,ASSUMPTIONS!$E$7*J$48)-MIN($A54,ASSUMPTIONS!$E$7*J$48))</f>
        <v>-97.1508605549725</v>
      </c>
      <c r="K54" s="86" t="n">
        <f aca="false">13W_FORECAST!L60+LIQUIDITY_DRIVERS!$H$13*(1+ASSUMPTIONS!$E$49*(1-ASSUMPTIONS!$E$50))*(MIN(ASSUMPTIONS!$E$16,ASSUMPTIONS!$E$7*K$48)-MIN($A54,ASSUMPTIONS!$E$7*K$48))</f>
        <v>165.656831752721</v>
      </c>
      <c r="L54" s="86" t="n">
        <f aca="false">13W_FORECAST!M60+LIQUIDITY_DRIVERS!$H$13*(1+ASSUMPTIONS!$E$49*(1-ASSUMPTIONS!$E$50))*(MIN(ASSUMPTIONS!$E$16,ASSUMPTIONS!$E$7*L$48)-MIN($A54,ASSUMPTIONS!$E$7*L$48))</f>
        <v>428.464524060413</v>
      </c>
      <c r="M54" s="86" t="n">
        <f aca="false">13W_FORECAST!N60+LIQUIDITY_DRIVERS!$H$13*(1+ASSUMPTIONS!$E$49*(1-ASSUMPTIONS!$E$50))*(MIN(ASSUMPTIONS!$E$16,ASSUMPTIONS!$E$7*M$48)-MIN($A54,ASSUMPTIONS!$E$7*M$48))</f>
        <v>691.272216368106</v>
      </c>
      <c r="N54" s="86" t="n">
        <f aca="false">13W_FORECAST!O60+LIQUIDITY_DRIVERS!$H$13*(1+ASSUMPTIONS!$E$49*(1-ASSUMPTIONS!$E$50))*(MIN(ASSUMPTIONS!$E$16,ASSUMPTIONS!$E$7*N$48)-MIN($A54,ASSUMPTIONS!$E$7*N$48))</f>
        <v>173.746575342465</v>
      </c>
    </row>
    <row r="56" customFormat="false" ht="15" hidden="false" customHeight="false" outlineLevel="0" collapsed="false">
      <c r="A56" s="7" t="s">
        <v>1058</v>
      </c>
      <c r="B56" s="8"/>
      <c r="C56" s="8"/>
      <c r="D56" s="8"/>
      <c r="E56" s="8"/>
      <c r="F56" s="8"/>
      <c r="G56" s="8"/>
      <c r="H56" s="8"/>
      <c r="I56" s="8"/>
      <c r="J56" s="8"/>
      <c r="K56" s="8"/>
      <c r="L56" s="8"/>
      <c r="M56" s="8"/>
      <c r="N56" s="8"/>
      <c r="O56" s="8"/>
      <c r="P56" s="8"/>
    </row>
    <row r="57" customFormat="false" ht="15" hidden="false" customHeight="false" outlineLevel="0" collapsed="false">
      <c r="A57" s="22" t="s">
        <v>1059</v>
      </c>
      <c r="B57" s="22" t="s">
        <v>1060</v>
      </c>
      <c r="C57" s="101" t="n">
        <f aca="false">ASSUMPTIONS!$E$65+0*ASSUMPTIONS!$E$66</f>
        <v>0.02</v>
      </c>
      <c r="D57" s="101" t="n">
        <f aca="false">ASSUMPTIONS!$E$65+1*ASSUMPTIONS!$E$66</f>
        <v>0.03</v>
      </c>
      <c r="E57" s="101" t="n">
        <f aca="false">ASSUMPTIONS!$E$65+2*ASSUMPTIONS!$E$66</f>
        <v>0.04</v>
      </c>
      <c r="F57" s="101" t="n">
        <f aca="false">ASSUMPTIONS!$E$65+3*ASSUMPTIONS!$E$66</f>
        <v>0.05</v>
      </c>
      <c r="G57" s="101" t="n">
        <f aca="false">ASSUMPTIONS!$E$65+4*ASSUMPTIONS!$E$66</f>
        <v>0.06</v>
      </c>
      <c r="H57" s="101" t="n">
        <f aca="false">ASSUMPTIONS!$E$65+5*ASSUMPTIONS!$E$66</f>
        <v>0.07</v>
      </c>
    </row>
    <row r="58" customFormat="false" ht="15" hidden="false" customHeight="false" outlineLevel="0" collapsed="false">
      <c r="A58" s="96" t="n">
        <f aca="false">A49</f>
        <v>0</v>
      </c>
      <c r="B58" s="86" t="n">
        <f aca="false">MAX(0,$B$12-MIN($B$49:$N$49))</f>
        <v>0</v>
      </c>
      <c r="C58" s="100" t="n">
        <f aca="false">C$57*$B$8*SUMPRODUCT((($B$12-$B$49:$N$49)+ABS($B$12-$B$49:$N$49))/2)</f>
        <v>0</v>
      </c>
      <c r="D58" s="100" t="n">
        <f aca="false">D$57*$B$8*SUMPRODUCT((($B$12-$B$49:$N$49)+ABS($B$12-$B$49:$N$49))/2)</f>
        <v>0</v>
      </c>
      <c r="E58" s="100" t="n">
        <f aca="false">E$57*$B$8*SUMPRODUCT((($B$12-$B$49:$N$49)+ABS($B$12-$B$49:$N$49))/2)</f>
        <v>0</v>
      </c>
      <c r="F58" s="100" t="n">
        <f aca="false">F$57*$B$8*SUMPRODUCT((($B$12-$B$49:$N$49)+ABS($B$12-$B$49:$N$49))/2)</f>
        <v>0</v>
      </c>
      <c r="G58" s="100" t="n">
        <f aca="false">G$57*$B$8*SUMPRODUCT((($B$12-$B$49:$N$49)+ABS($B$12-$B$49:$N$49))/2)</f>
        <v>0</v>
      </c>
      <c r="H58" s="100" t="n">
        <f aca="false">H$57*$B$8*SUMPRODUCT((($B$12-$B$49:$N$49)+ABS($B$12-$B$49:$N$49))/2)</f>
        <v>0</v>
      </c>
    </row>
    <row r="59" customFormat="false" ht="15" hidden="false" customHeight="false" outlineLevel="0" collapsed="false">
      <c r="A59" s="96" t="n">
        <f aca="false">A50</f>
        <v>7</v>
      </c>
      <c r="B59" s="86" t="n">
        <f aca="false">MAX(0,$B$12-MIN($B$50:$N$50))</f>
        <v>0</v>
      </c>
      <c r="C59" s="100" t="n">
        <f aca="false">C$57*$B$8*SUMPRODUCT((($B$12-$B$50:$N$50)+ABS($B$12-$B$50:$N$50))/2)</f>
        <v>0</v>
      </c>
      <c r="D59" s="100" t="n">
        <f aca="false">D$57*$B$8*SUMPRODUCT((($B$12-$B$50:$N$50)+ABS($B$12-$B$50:$N$50))/2)</f>
        <v>0</v>
      </c>
      <c r="E59" s="100" t="n">
        <f aca="false">E$57*$B$8*SUMPRODUCT((($B$12-$B$50:$N$50)+ABS($B$12-$B$50:$N$50))/2)</f>
        <v>0</v>
      </c>
      <c r="F59" s="100" t="n">
        <f aca="false">F$57*$B$8*SUMPRODUCT((($B$12-$B$50:$N$50)+ABS($B$12-$B$50:$N$50))/2)</f>
        <v>0</v>
      </c>
      <c r="G59" s="100" t="n">
        <f aca="false">G$57*$B$8*SUMPRODUCT((($B$12-$B$50:$N$50)+ABS($B$12-$B$50:$N$50))/2)</f>
        <v>0</v>
      </c>
      <c r="H59" s="100" t="n">
        <f aca="false">H$57*$B$8*SUMPRODUCT((($B$12-$B$50:$N$50)+ABS($B$12-$B$50:$N$50))/2)</f>
        <v>0</v>
      </c>
    </row>
    <row r="60" customFormat="false" ht="15" hidden="false" customHeight="false" outlineLevel="0" collapsed="false">
      <c r="A60" s="96" t="n">
        <f aca="false">A51</f>
        <v>14</v>
      </c>
      <c r="B60" s="86" t="n">
        <f aca="false">MAX(0,$B$12-MIN($B$51:$N$51))</f>
        <v>482.066754478399</v>
      </c>
      <c r="C60" s="100" t="n">
        <f aca="false">C$57*$B$8*SUMPRODUCT((($B$12-$B$51:$N$51)+ABS($B$12-$B$51:$N$51))/2)</f>
        <v>0.609691071110664</v>
      </c>
      <c r="D60" s="100" t="n">
        <f aca="false">D$57*$B$8*SUMPRODUCT((($B$12-$B$51:$N$51)+ABS($B$12-$B$51:$N$51))/2)</f>
        <v>0.914536606665996</v>
      </c>
      <c r="E60" s="100" t="n">
        <f aca="false">E$57*$B$8*SUMPRODUCT((($B$12-$B$51:$N$51)+ABS($B$12-$B$51:$N$51))/2)</f>
        <v>1.21938214222133</v>
      </c>
      <c r="F60" s="100" t="n">
        <f aca="false">F$57*$B$8*SUMPRODUCT((($B$12-$B$51:$N$51)+ABS($B$12-$B$51:$N$51))/2)</f>
        <v>1.52422767777666</v>
      </c>
      <c r="G60" s="100" t="n">
        <f aca="false">G$57*$B$8*SUMPRODUCT((($B$12-$B$51:$N$51)+ABS($B$12-$B$51:$N$51))/2)</f>
        <v>1.82907321333199</v>
      </c>
      <c r="H60" s="100" t="n">
        <f aca="false">H$57*$B$8*SUMPRODUCT((($B$12-$B$51:$N$51)+ABS($B$12-$B$51:$N$51))/2)</f>
        <v>2.13391874888732</v>
      </c>
    </row>
    <row r="61" customFormat="false" ht="15" hidden="false" customHeight="false" outlineLevel="0" collapsed="false">
      <c r="A61" s="96" t="n">
        <f aca="false">A52</f>
        <v>21</v>
      </c>
      <c r="B61" s="86" t="n">
        <f aca="false">MAX(0,$B$12-MIN($B$52:$N$52))</f>
        <v>1442.52769582016</v>
      </c>
      <c r="C61" s="100" t="n">
        <f aca="false">C$57*$B$8*SUMPRODUCT((($B$12-$B$52:$N$52)+ABS($B$12-$B$52:$N$52))/2)</f>
        <v>4.14190993258946</v>
      </c>
      <c r="D61" s="100" t="n">
        <f aca="false">D$57*$B$8*SUMPRODUCT((($B$12-$B$52:$N$52)+ABS($B$12-$B$52:$N$52))/2)</f>
        <v>6.2128648988842</v>
      </c>
      <c r="E61" s="100" t="n">
        <f aca="false">E$57*$B$8*SUMPRODUCT((($B$12-$B$52:$N$52)+ABS($B$12-$B$52:$N$52))/2)</f>
        <v>8.28381986517893</v>
      </c>
      <c r="F61" s="100" t="n">
        <f aca="false">F$57*$B$8*SUMPRODUCT((($B$12-$B$52:$N$52)+ABS($B$12-$B$52:$N$52))/2)</f>
        <v>10.3547748314737</v>
      </c>
      <c r="G61" s="100" t="n">
        <f aca="false">G$57*$B$8*SUMPRODUCT((($B$12-$B$52:$N$52)+ABS($B$12-$B$52:$N$52))/2)</f>
        <v>12.4257297977684</v>
      </c>
      <c r="H61" s="100" t="n">
        <f aca="false">H$57*$B$8*SUMPRODUCT((($B$12-$B$52:$N$52)+ABS($B$12-$B$52:$N$52))/2)</f>
        <v>14.4966847640631</v>
      </c>
    </row>
    <row r="62" customFormat="false" ht="15" hidden="false" customHeight="false" outlineLevel="0" collapsed="false">
      <c r="A62" s="96" t="n">
        <f aca="false">A53</f>
        <v>28</v>
      </c>
      <c r="B62" s="86" t="n">
        <f aca="false">MAX(0,$B$12-MIN($B$53:$N$53))</f>
        <v>2411.07838075167</v>
      </c>
      <c r="C62" s="100" t="n">
        <f aca="false">C$57*$B$8*SUMPRODUCT((($B$12-$B$53:$N$53)+ABS($B$12-$B$53:$N$53))/2)</f>
        <v>7.85689886109388</v>
      </c>
      <c r="D62" s="100" t="n">
        <f aca="false">D$57*$B$8*SUMPRODUCT((($B$12-$B$53:$N$53)+ABS($B$12-$B$53:$N$53))/2)</f>
        <v>11.7853482916408</v>
      </c>
      <c r="E62" s="100" t="n">
        <f aca="false">E$57*$B$8*SUMPRODUCT((($B$12-$B$53:$N$53)+ABS($B$12-$B$53:$N$53))/2)</f>
        <v>15.7137977221878</v>
      </c>
      <c r="F62" s="100" t="n">
        <f aca="false">F$57*$B$8*SUMPRODUCT((($B$12-$B$53:$N$53)+ABS($B$12-$B$53:$N$53))/2)</f>
        <v>19.6422471527347</v>
      </c>
      <c r="G62" s="100" t="n">
        <f aca="false">G$57*$B$8*SUMPRODUCT((($B$12-$B$53:$N$53)+ABS($B$12-$B$53:$N$53))/2)</f>
        <v>23.5706965832816</v>
      </c>
      <c r="H62" s="100" t="n">
        <f aca="false">H$57*$B$8*SUMPRODUCT((($B$12-$B$53:$N$53)+ABS($B$12-$B$53:$N$53))/2)</f>
        <v>27.4991460138286</v>
      </c>
    </row>
    <row r="63" customFormat="false" ht="15" hidden="false" customHeight="false" outlineLevel="0" collapsed="false">
      <c r="A63" s="96" t="n">
        <f aca="false">A54</f>
        <v>35</v>
      </c>
      <c r="B63" s="86" t="n">
        <f aca="false">MAX(0,$B$12-MIN($B$54:$N$54))</f>
        <v>3379.62906568318</v>
      </c>
      <c r="C63" s="100" t="n">
        <f aca="false">C$57*$B$8*SUMPRODUCT((($B$12-$B$54:$N$54)+ABS($B$12-$B$54:$N$54))/2)</f>
        <v>11.2003888967478</v>
      </c>
      <c r="D63" s="100" t="n">
        <f aca="false">D$57*$B$8*SUMPRODUCT((($B$12-$B$54:$N$54)+ABS($B$12-$B$54:$N$54))/2)</f>
        <v>16.8005833451218</v>
      </c>
      <c r="E63" s="100" t="n">
        <f aca="false">E$57*$B$8*SUMPRODUCT((($B$12-$B$54:$N$54)+ABS($B$12-$B$54:$N$54))/2)</f>
        <v>22.4007777934957</v>
      </c>
      <c r="F63" s="100" t="n">
        <f aca="false">F$57*$B$8*SUMPRODUCT((($B$12-$B$54:$N$54)+ABS($B$12-$B$54:$N$54))/2)</f>
        <v>28.0009722418696</v>
      </c>
      <c r="G63" s="100" t="n">
        <f aca="false">G$57*$B$8*SUMPRODUCT((($B$12-$B$54:$N$54)+ABS($B$12-$B$54:$N$54))/2)</f>
        <v>33.6011666902435</v>
      </c>
      <c r="H63" s="100" t="n">
        <f aca="false">H$57*$B$8*SUMPRODUCT((($B$12-$B$54:$N$54)+ABS($B$12-$B$54:$N$54))/2)</f>
        <v>39.2013611386175</v>
      </c>
    </row>
  </sheetData>
  <conditionalFormatting sqref="I16:I24">
    <cfRule type="cellIs" priority="2" operator="greaterThan" aboveAverage="0" equalAverage="0" bottom="0" percent="0" rank="0" text="" dxfId="3">
      <formula>0</formula>
    </cfRule>
  </conditionalFormatting>
  <conditionalFormatting sqref="J16:J24">
    <cfRule type="expression" priority="3" aboveAverage="0" equalAverage="0" bottom="0" percent="0" rank="0" text="" dxfId="0">
      <formula>J16="BREACH"</formula>
    </cfRule>
  </conditionalFormatting>
  <conditionalFormatting sqref="B38:G45">
    <cfRule type="colorScale" priority="4">
      <colorScale>
        <cfvo type="min" val="0"/>
        <cfvo type="percentile" val="50"/>
        <cfvo type="max" val="0"/>
        <color rgb="FF63BE7B"/>
        <color rgb="FFFFEB84"/>
        <color rgb="FFF8696B"/>
      </colorScale>
    </cfRule>
  </conditionalFormatting>
  <conditionalFormatting sqref="C58:H63">
    <cfRule type="colorScale" priority="5">
      <colorScale>
        <cfvo type="min" val="0"/>
        <cfvo type="percentile" val="50"/>
        <cfvo type="max" val="0"/>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4"/>
    <col collapsed="false" customWidth="true" hidden="false" outlineLevel="0" max="4" min="3" style="0" width="14"/>
    <col collapsed="false" customWidth="true" hidden="false" outlineLevel="0" max="11" min="5" style="0" width="11"/>
  </cols>
  <sheetData>
    <row r="1" customFormat="false" ht="16.15" hidden="false" customHeight="false" outlineLevel="0" collapsed="false">
      <c r="A1" s="1" t="s">
        <v>1061</v>
      </c>
    </row>
    <row r="2" customFormat="false" ht="15" hidden="false" customHeight="false" outlineLevel="0" collapsed="false">
      <c r="A2" s="5" t="s">
        <v>1062</v>
      </c>
    </row>
    <row r="4" customFormat="false" ht="15" hidden="false" customHeight="false" outlineLevel="0" collapsed="false">
      <c r="A4" s="22" t="s">
        <v>794</v>
      </c>
      <c r="B4" s="72" t="str">
        <f aca="false">13W_FORECAST!$C$4</f>
        <v>Base</v>
      </c>
      <c r="C4" s="5" t="s">
        <v>1063</v>
      </c>
    </row>
    <row r="5" customFormat="false" ht="15" hidden="false" customHeight="false" outlineLevel="0" collapsed="false">
      <c r="A5" s="9" t="s">
        <v>1064</v>
      </c>
      <c r="B5" s="27" t="n">
        <f aca="false">13W_FORECAST!$C$16</f>
        <v>3941</v>
      </c>
      <c r="C5" s="40" t="s">
        <v>716</v>
      </c>
    </row>
    <row r="6" customFormat="false" ht="15" hidden="false" customHeight="false" outlineLevel="0" collapsed="false">
      <c r="A6" s="9" t="s">
        <v>1065</v>
      </c>
      <c r="B6" s="27" t="n">
        <f aca="false">LIQUIDITY_BUFFER!$C$10</f>
        <v>3011.58076923077</v>
      </c>
      <c r="C6" s="40" t="s">
        <v>1066</v>
      </c>
    </row>
    <row r="7" customFormat="false" ht="15" hidden="false" customHeight="false" outlineLevel="0" collapsed="false">
      <c r="A7" s="9" t="s">
        <v>1067</v>
      </c>
      <c r="B7" s="27" t="n">
        <f aca="false">MIN(13W_FORECAST!$C$60:$O$60)</f>
        <v>4203.80769230769</v>
      </c>
      <c r="C7" s="40" t="s">
        <v>720</v>
      </c>
    </row>
    <row r="8" customFormat="false" ht="15" hidden="false" customHeight="false" outlineLevel="0" collapsed="false">
      <c r="A8" s="9" t="s">
        <v>1068</v>
      </c>
      <c r="B8" s="57" t="str">
        <f aca="false">"W"&amp;MATCH(MIN(13W_FORECAST!$C$60:$O$60),13W_FORECAST!$C$60:$O$60,0)&amp;" (w/c "&amp;TEXT(INDEX(13W_FORECAST!$C$9:$O$9,MATCH(MIN(13W_FORECAST!$C$60:$O$60),13W_FORECAST!$C$60:$O$60,0)),"d mmm yyyy")&amp;")"</f>
        <v>W1 (w/c 1 Jan 2026)</v>
      </c>
      <c r="C8" s="40" t="s">
        <v>720</v>
      </c>
    </row>
    <row r="9" customFormat="false" ht="15" hidden="false" customHeight="false" outlineLevel="0" collapsed="false">
      <c r="A9" s="9" t="s">
        <v>1069</v>
      </c>
      <c r="B9" s="27" t="n">
        <f aca="false">MAX(0,LIQUIDITY_BUFFER!$C$10-MIN(13W_FORECAST!$C$60:$O$60))</f>
        <v>0</v>
      </c>
      <c r="C9" s="40" t="s">
        <v>720</v>
      </c>
    </row>
    <row r="10" customFormat="false" ht="15" hidden="false" customHeight="false" outlineLevel="0" collapsed="false">
      <c r="A10" s="9" t="s">
        <v>1070</v>
      </c>
      <c r="B10" s="27" t="n">
        <f aca="false">FUNDING!$B$21</f>
        <v>0</v>
      </c>
      <c r="C10" s="40" t="s">
        <v>720</v>
      </c>
    </row>
    <row r="11" customFormat="false" ht="15" hidden="false" customHeight="false" outlineLevel="0" collapsed="false">
      <c r="A11" s="9" t="s">
        <v>981</v>
      </c>
      <c r="B11" s="102" t="n">
        <f aca="false">FUNDING!$B$20</f>
        <v>0</v>
      </c>
      <c r="C11" s="40" t="s">
        <v>720</v>
      </c>
    </row>
    <row r="12" customFormat="false" ht="15" hidden="false" customHeight="false" outlineLevel="0" collapsed="false">
      <c r="A12" s="9" t="s">
        <v>1000</v>
      </c>
      <c r="B12" s="27" t="n">
        <f aca="false">SURPLUS_CASH!$B$16</f>
        <v>1868.68846153846</v>
      </c>
      <c r="C12" s="40" t="s">
        <v>720</v>
      </c>
    </row>
    <row r="13" customFormat="false" ht="15" hidden="false" customHeight="false" outlineLevel="0" collapsed="false">
      <c r="A13" s="9" t="s">
        <v>999</v>
      </c>
      <c r="B13" s="102" t="n">
        <f aca="false">SURPLUS_CASH!$B$15</f>
        <v>9.31784383561644</v>
      </c>
      <c r="C13" s="40" t="s">
        <v>720</v>
      </c>
    </row>
    <row r="14" customFormat="false" ht="15" hidden="false" customHeight="false" outlineLevel="0" collapsed="false">
      <c r="A14" s="9" t="s">
        <v>1053</v>
      </c>
      <c r="B14" s="102" t="n">
        <f aca="false">B11-B13</f>
        <v>-9.31784383561644</v>
      </c>
      <c r="C14" s="40" t="s">
        <v>720</v>
      </c>
    </row>
    <row r="15" customFormat="false" ht="15" hidden="false" customHeight="false" outlineLevel="0" collapsed="false">
      <c r="A15" s="9" t="s">
        <v>983</v>
      </c>
      <c r="B15" s="103" t="n">
        <f aca="false">FUNDING!$B$22</f>
        <v>0</v>
      </c>
      <c r="C15" s="40" t="s">
        <v>720</v>
      </c>
    </row>
    <row r="16" customFormat="false" ht="15" hidden="false" customHeight="false" outlineLevel="0" collapsed="false">
      <c r="A16" s="9" t="s">
        <v>1071</v>
      </c>
      <c r="B16" s="50" t="n">
        <f aca="false">COUNTIF(13W_FORECAST!$C$60:$O$60,"&lt;"&amp;LIQUIDITY_BUFFER!$C$10)</f>
        <v>0</v>
      </c>
      <c r="C16" s="40" t="s">
        <v>720</v>
      </c>
    </row>
    <row r="17" customFormat="false" ht="15" hidden="false" customHeight="false" outlineLevel="0" collapsed="false">
      <c r="A17" s="9" t="s">
        <v>1044</v>
      </c>
      <c r="B17" s="27" t="n">
        <f aca="false">OPTIMISATION!$B$26</f>
        <v>3500</v>
      </c>
      <c r="C17" s="40" t="s">
        <v>1072</v>
      </c>
    </row>
    <row r="19" customFormat="false" ht="15" hidden="false" customHeight="false" outlineLevel="0" collapsed="false">
      <c r="A19" s="7" t="s">
        <v>1073</v>
      </c>
      <c r="B19" s="8"/>
      <c r="C19" s="8"/>
      <c r="D19" s="8"/>
      <c r="E19" s="8"/>
      <c r="F19" s="8"/>
      <c r="G19" s="8"/>
      <c r="H19" s="8"/>
      <c r="I19" s="8"/>
    </row>
    <row r="20" customFormat="false" ht="15" hidden="false" customHeight="false" outlineLevel="0" collapsed="false">
      <c r="A20" s="15" t="s">
        <v>1074</v>
      </c>
      <c r="B20" s="16" t="s">
        <v>579</v>
      </c>
      <c r="C20" s="16" t="s">
        <v>580</v>
      </c>
      <c r="D20" s="16" t="s">
        <v>581</v>
      </c>
    </row>
    <row r="21" customFormat="false" ht="15" hidden="false" customHeight="false" outlineLevel="0" collapsed="false">
      <c r="A21" s="9" t="s">
        <v>1075</v>
      </c>
      <c r="B21" s="19" t="n">
        <f aca="false">MIN(SCENARIOS!$C$18:$O$18)</f>
        <v>4203.80769230769</v>
      </c>
      <c r="C21" s="19" t="n">
        <f aca="false">MIN(SCENARIOS!$C$20:$O$20)</f>
        <v>3260.19636054268</v>
      </c>
      <c r="D21" s="19" t="n">
        <f aca="false">MIN(SCENARIOS!$C$22:$O$22)</f>
        <v>1674.98060154549</v>
      </c>
    </row>
    <row r="22" customFormat="false" ht="15" hidden="false" customHeight="false" outlineLevel="0" collapsed="false">
      <c r="A22" s="9" t="s">
        <v>1076</v>
      </c>
      <c r="B22" s="104" t="str">
        <f aca="false">"W"&amp;MATCH(MIN(SCENARIOS!$C$18:$O$18),SCENARIOS!$C$18:$O$18,0)</f>
        <v>W1</v>
      </c>
      <c r="C22" s="104" t="str">
        <f aca="false">"W"&amp;MATCH(MIN(SCENARIOS!$C$20:$O$20),SCENARIOS!$C$20:$O$20,0)</f>
        <v>W1</v>
      </c>
      <c r="D22" s="104" t="str">
        <f aca="false">"W"&amp;MATCH(MIN(SCENARIOS!$C$22:$O$22),SCENARIOS!$C$22:$O$22,0)</f>
        <v>W5</v>
      </c>
    </row>
    <row r="23" customFormat="false" ht="15" hidden="false" customHeight="false" outlineLevel="0" collapsed="false">
      <c r="A23" s="9" t="s">
        <v>1077</v>
      </c>
      <c r="B23" s="19" t="n">
        <f aca="false">LIQUIDITY_BUFFER!$C$10</f>
        <v>3011.58076923077</v>
      </c>
      <c r="C23" s="19" t="n">
        <f aca="false">LIQUIDITY_BUFFER!$C$10</f>
        <v>3011.58076923077</v>
      </c>
      <c r="D23" s="19" t="n">
        <f aca="false">LIQUIDITY_BUFFER!$C$10</f>
        <v>3011.58076923077</v>
      </c>
    </row>
    <row r="24" customFormat="false" ht="15" hidden="false" customHeight="false" outlineLevel="0" collapsed="false">
      <c r="A24" s="9" t="s">
        <v>1078</v>
      </c>
      <c r="B24" s="19" t="n">
        <f aca="false">MIN(SCENARIOS!$C$18:$O$18)-LIQUIDITY_BUFFER!$C$10</f>
        <v>1192.22692307692</v>
      </c>
      <c r="C24" s="19" t="n">
        <f aca="false">MIN(SCENARIOS!$C$20:$O$20)-LIQUIDITY_BUFFER!$C$10</f>
        <v>248.615591311907</v>
      </c>
      <c r="D24" s="19" t="n">
        <f aca="false">MIN(SCENARIOS!$C$22:$O$22)-LIQUIDITY_BUFFER!$C$10</f>
        <v>-1336.60016768528</v>
      </c>
    </row>
    <row r="25" customFormat="false" ht="15" hidden="false" customHeight="false" outlineLevel="0" collapsed="false">
      <c r="A25" s="9" t="s">
        <v>1070</v>
      </c>
      <c r="B25" s="19" t="n">
        <f aca="false">MAX(0,LIQUIDITY_BUFFER!$C$10-MIN(SCENARIOS!$C$18:$O$18))</f>
        <v>0</v>
      </c>
      <c r="C25" s="19" t="n">
        <f aca="false">MAX(0,LIQUIDITY_BUFFER!$C$10-MIN(SCENARIOS!$C$20:$O$20))</f>
        <v>0</v>
      </c>
      <c r="D25" s="19" t="n">
        <f aca="false">MAX(0,LIQUIDITY_BUFFER!$C$10-MIN(SCENARIOS!$C$22:$O$22))</f>
        <v>1336.60016768528</v>
      </c>
    </row>
    <row r="26" customFormat="false" ht="15" hidden="false" customHeight="false" outlineLevel="0" collapsed="false">
      <c r="A26" s="9" t="s">
        <v>1079</v>
      </c>
      <c r="B26" s="105" t="n">
        <f aca="false">MAX(0,LIQUIDITY_BUFFER!$C$10-MIN(SCENARIOS!$C$18:$O$18))/13W_FORECAST!$C$21</f>
        <v>0</v>
      </c>
      <c r="C26" s="105" t="n">
        <f aca="false">MAX(0,LIQUIDITY_BUFFER!$C$10-MIN(SCENARIOS!$C$20:$O$20))/13W_FORECAST!$C$21</f>
        <v>0</v>
      </c>
      <c r="D26" s="105" t="n">
        <f aca="false">MAX(0,LIQUIDITY_BUFFER!$C$10-MIN(SCENARIOS!$C$22:$O$22))/13W_FORECAST!$C$21</f>
        <v>0.190248963904326</v>
      </c>
    </row>
    <row r="27" customFormat="false" ht="15" hidden="false" customHeight="false" outlineLevel="0" collapsed="false">
      <c r="A27" s="9" t="s">
        <v>1080</v>
      </c>
      <c r="B27" s="106" t="n">
        <f aca="false">LIQUIDITY_DRIVERS!$E$68*ASSUMPTIONS!$E$7/ASSUMPTIONS!$E$8*SUMPRODUCT(((LIQUIDITY_BUFFER!$C$10-SCENARIOS!$C$18:$O$18)+ABS(LIQUIDITY_BUFFER!$C$10-SCENARIOS!$C$18:$O$18))/2)</f>
        <v>0</v>
      </c>
      <c r="C27" s="106" t="n">
        <f aca="false">LIQUIDITY_DRIVERS!$F$68*ASSUMPTIONS!$E$7/ASSUMPTIONS!$E$8*SUMPRODUCT(((LIQUIDITY_BUFFER!$C$10-SCENARIOS!$C$20:$O$20)+ABS(LIQUIDITY_BUFFER!$C$10-SCENARIOS!$C$20:$O$20))/2)</f>
        <v>0</v>
      </c>
      <c r="D27" s="106" t="n">
        <f aca="false">LIQUIDITY_DRIVERS!$G$68*ASSUMPTIONS!$E$7/ASSUMPTIONS!$E$8*SUMPRODUCT(((LIQUIDITY_BUFFER!$C$10-SCENARIOS!$C$22:$O$22)+ABS(LIQUIDITY_BUFFER!$C$10-SCENARIOS!$C$22:$O$22))/2)</f>
        <v>15.4621004111135</v>
      </c>
    </row>
    <row r="28" customFormat="false" ht="15" hidden="false" customHeight="false" outlineLevel="0" collapsed="false">
      <c r="A28" s="9" t="s">
        <v>1081</v>
      </c>
      <c r="B28" s="106" t="n">
        <f aca="false">ASSUMPTIONS!$B$44*ASSUMPTIONS!$B$45*ASSUMPTIONS!$E$7/ASSUMPTIONS!$E$8*SUMPRODUCT(((SCENARIOS!$C$18:$O$18-LIQUIDITY_BUFFER!$C$10-ASSUMPTIONS!$B$47)+ABS(SCENARIOS!$C$18:$O$18-LIQUIDITY_BUFFER!$C$10-ASSUMPTIONS!$B$47))/2)</f>
        <v>9.31784383561644</v>
      </c>
      <c r="C28" s="106" t="n">
        <f aca="false">ASSUMPTIONS!$C$44*ASSUMPTIONS!$C$45*ASSUMPTIONS!$E$7/ASSUMPTIONS!$E$8*SUMPRODUCT(((SCENARIOS!$C$20:$O$20-LIQUIDITY_BUFFER!$C$10-ASSUMPTIONS!$C$47)+ABS(SCENARIOS!$C$20:$O$20-LIQUIDITY_BUFFER!$C$10-ASSUMPTIONS!$C$47))/2)</f>
        <v>4.36812718791143</v>
      </c>
      <c r="D28" s="106" t="n">
        <f aca="false">ASSUMPTIONS!$D$44*ASSUMPTIONS!$D$45*ASSUMPTIONS!$E$7/ASSUMPTIONS!$E$8*SUMPRODUCT(((SCENARIOS!$C$22:$O$22-LIQUIDITY_BUFFER!$C$10-ASSUMPTIONS!$D$47)+ABS(SCENARIOS!$C$22:$O$22-LIQUIDITY_BUFFER!$C$10-ASSUMPTIONS!$D$47))/2)</f>
        <v>0</v>
      </c>
    </row>
    <row r="29" customFormat="false" ht="15" hidden="false" customHeight="false" outlineLevel="0" collapsed="false">
      <c r="A29" s="9" t="s">
        <v>1053</v>
      </c>
      <c r="B29" s="102" t="n">
        <f aca="false">B27-B28</f>
        <v>-9.31784383561644</v>
      </c>
      <c r="C29" s="102" t="n">
        <f aca="false">C27-C28</f>
        <v>-4.36812718791143</v>
      </c>
      <c r="D29" s="102" t="n">
        <f aca="false">D27-D28</f>
        <v>15.4621004111135</v>
      </c>
    </row>
    <row r="30" customFormat="false" ht="15" hidden="false" customHeight="false" outlineLevel="0" collapsed="false">
      <c r="A30" s="9" t="s">
        <v>1071</v>
      </c>
      <c r="B30" s="107" t="n">
        <f aca="false">COUNTIF(SCENARIOS!$C$18:$O$18,"&lt;"&amp;LIQUIDITY_BUFFER!$C$10)</f>
        <v>0</v>
      </c>
      <c r="C30" s="107" t="n">
        <f aca="false">COUNTIF(SCENARIOS!$C$20:$O$20,"&lt;"&amp;LIQUIDITY_BUFFER!$C$10)</f>
        <v>0</v>
      </c>
      <c r="D30" s="107" t="n">
        <f aca="false">COUNTIF(SCENARIOS!$C$22:$O$22,"&lt;"&amp;LIQUIDITY_BUFFER!$C$10)</f>
        <v>13</v>
      </c>
    </row>
    <row r="31" customFormat="false" ht="15" hidden="false" customHeight="false" outlineLevel="0" collapsed="false">
      <c r="A31" s="9" t="s">
        <v>1082</v>
      </c>
      <c r="B31" s="108" t="n">
        <f aca="false">IF(MAX(0,LIQUIDITY_BUFFER!$C$10-MIN(SCENARIOS!$C$18:$O$18))&gt;0,"Already needed",IF(SCENARIOS!$B$41&gt;=99999,"Not within horizon",SCENARIOS!$B$41-ASSUMPTIONS!$B$16))</f>
        <v>10.5159621134464</v>
      </c>
      <c r="C31" s="108" t="n">
        <f aca="false">IF(MAX(0,LIQUIDITY_BUFFER!$C$10-MIN(SCENARIOS!$C$20:$O$20))&gt;0,"Already needed",IF(SCENARIOS!$B$42&gt;=99999,"Not within horizon",SCENARIOS!$B$42-ASSUMPTIONS!$C$16))</f>
        <v>3.71576859820388</v>
      </c>
      <c r="D31" s="108" t="str">
        <f aca="false">IF(MAX(0,LIQUIDITY_BUFFER!$C$10-MIN(SCENARIOS!$C$22:$O$22))&gt;0,"Already needed",IF(SCENARIOS!$B$43&gt;=99999,"Not within horizon",SCENARIOS!$B$43-ASSUMPTIONS!$D$16))</f>
        <v>Already needed</v>
      </c>
    </row>
    <row r="32" customFormat="false" ht="15" hidden="false" customHeight="false" outlineLevel="0" collapsed="false">
      <c r="A32" s="5" t="s">
        <v>1083</v>
      </c>
    </row>
    <row r="33" customFormat="false" ht="15" hidden="false" customHeight="false" outlineLevel="0" collapsed="false">
      <c r="A33" s="5" t="s">
        <v>1084</v>
      </c>
    </row>
    <row r="71" customFormat="false" ht="15" hidden="false" customHeight="false" outlineLevel="0" collapsed="false">
      <c r="A71" s="7" t="s">
        <v>1085</v>
      </c>
      <c r="B71" s="8"/>
      <c r="C71" s="8"/>
      <c r="D71" s="8"/>
      <c r="E71" s="8"/>
      <c r="F71" s="8"/>
      <c r="G71" s="8"/>
      <c r="H71" s="8"/>
      <c r="I71" s="8"/>
    </row>
    <row r="72" customFormat="false" ht="15" hidden="false" customHeight="false" outlineLevel="0" collapsed="false">
      <c r="A72" s="22" t="s">
        <v>1055</v>
      </c>
      <c r="B72" s="101" t="n">
        <f aca="false">OPTIMISATION!B37</f>
        <v>0.02</v>
      </c>
      <c r="C72" s="101" t="n">
        <f aca="false">OPTIMISATION!C37</f>
        <v>0.03</v>
      </c>
      <c r="D72" s="101" t="n">
        <f aca="false">OPTIMISATION!D37</f>
        <v>0.04</v>
      </c>
      <c r="E72" s="101" t="n">
        <f aca="false">OPTIMISATION!E37</f>
        <v>0.05</v>
      </c>
      <c r="F72" s="101" t="n">
        <f aca="false">OPTIMISATION!F37</f>
        <v>0.06</v>
      </c>
      <c r="G72" s="101" t="n">
        <f aca="false">OPTIMISATION!G37</f>
        <v>0.07</v>
      </c>
    </row>
    <row r="73" customFormat="false" ht="15" hidden="false" customHeight="false" outlineLevel="0" collapsed="false">
      <c r="A73" s="77" t="n">
        <f aca="false">OPTIMISATION!A38</f>
        <v>1000</v>
      </c>
      <c r="B73" s="109" t="n">
        <f aca="false">OPTIMISATION!B38</f>
        <v>-19.3481917808219</v>
      </c>
      <c r="C73" s="109" t="n">
        <f aca="false">OPTIMISATION!C38</f>
        <v>-19.3481917808219</v>
      </c>
      <c r="D73" s="109" t="n">
        <f aca="false">OPTIMISATION!D38</f>
        <v>-19.3481917808219</v>
      </c>
      <c r="E73" s="109" t="n">
        <f aca="false">OPTIMISATION!E38</f>
        <v>-19.3481917808219</v>
      </c>
      <c r="F73" s="109" t="n">
        <f aca="false">OPTIMISATION!F38</f>
        <v>-19.3481917808219</v>
      </c>
      <c r="G73" s="109" t="n">
        <f aca="false">OPTIMISATION!G38</f>
        <v>-19.3481917808219</v>
      </c>
    </row>
    <row r="74" customFormat="false" ht="15" hidden="false" customHeight="false" outlineLevel="0" collapsed="false">
      <c r="A74" s="77" t="n">
        <f aca="false">OPTIMISATION!A39</f>
        <v>1500</v>
      </c>
      <c r="B74" s="109" t="n">
        <f aca="false">OPTIMISATION!B39</f>
        <v>-16.8550410958904</v>
      </c>
      <c r="C74" s="109" t="n">
        <f aca="false">OPTIMISATION!C39</f>
        <v>-16.8550410958904</v>
      </c>
      <c r="D74" s="109" t="n">
        <f aca="false">OPTIMISATION!D39</f>
        <v>-16.8550410958904</v>
      </c>
      <c r="E74" s="109" t="n">
        <f aca="false">OPTIMISATION!E39</f>
        <v>-16.8550410958904</v>
      </c>
      <c r="F74" s="109" t="n">
        <f aca="false">OPTIMISATION!F39</f>
        <v>-16.8550410958904</v>
      </c>
      <c r="G74" s="109" t="n">
        <f aca="false">OPTIMISATION!G39</f>
        <v>-16.8550410958904</v>
      </c>
    </row>
    <row r="75" customFormat="false" ht="15" hidden="false" customHeight="false" outlineLevel="0" collapsed="false">
      <c r="A75" s="77" t="n">
        <f aca="false">OPTIMISATION!A40</f>
        <v>2000</v>
      </c>
      <c r="B75" s="109" t="n">
        <f aca="false">OPTIMISATION!B40</f>
        <v>-14.3618904109589</v>
      </c>
      <c r="C75" s="109" t="n">
        <f aca="false">OPTIMISATION!C40</f>
        <v>-14.3618904109589</v>
      </c>
      <c r="D75" s="109" t="n">
        <f aca="false">OPTIMISATION!D40</f>
        <v>-14.3618904109589</v>
      </c>
      <c r="E75" s="109" t="n">
        <f aca="false">OPTIMISATION!E40</f>
        <v>-14.3618904109589</v>
      </c>
      <c r="F75" s="109" t="n">
        <f aca="false">OPTIMISATION!F40</f>
        <v>-14.3618904109589</v>
      </c>
      <c r="G75" s="109" t="n">
        <f aca="false">OPTIMISATION!G40</f>
        <v>-14.3618904109589</v>
      </c>
    </row>
    <row r="76" customFormat="false" ht="15" hidden="false" customHeight="false" outlineLevel="0" collapsed="false">
      <c r="A76" s="77" t="n">
        <f aca="false">OPTIMISATION!A41</f>
        <v>2500</v>
      </c>
      <c r="B76" s="109" t="n">
        <f aca="false">OPTIMISATION!B41</f>
        <v>-11.8687397260274</v>
      </c>
      <c r="C76" s="109" t="n">
        <f aca="false">OPTIMISATION!C41</f>
        <v>-11.8687397260274</v>
      </c>
      <c r="D76" s="109" t="n">
        <f aca="false">OPTIMISATION!D41</f>
        <v>-11.8687397260274</v>
      </c>
      <c r="E76" s="109" t="n">
        <f aca="false">OPTIMISATION!E41</f>
        <v>-11.8687397260274</v>
      </c>
      <c r="F76" s="109" t="n">
        <f aca="false">OPTIMISATION!F41</f>
        <v>-11.8687397260274</v>
      </c>
      <c r="G76" s="109" t="n">
        <f aca="false">OPTIMISATION!G41</f>
        <v>-11.8687397260274</v>
      </c>
    </row>
    <row r="77" customFormat="false" ht="15" hidden="false" customHeight="false" outlineLevel="0" collapsed="false">
      <c r="A77" s="77" t="n">
        <f aca="false">OPTIMISATION!A42</f>
        <v>3000</v>
      </c>
      <c r="B77" s="109" t="n">
        <f aca="false">OPTIMISATION!B42</f>
        <v>-9.37558904109589</v>
      </c>
      <c r="C77" s="109" t="n">
        <f aca="false">OPTIMISATION!C42</f>
        <v>-9.37558904109589</v>
      </c>
      <c r="D77" s="109" t="n">
        <f aca="false">OPTIMISATION!D42</f>
        <v>-9.37558904109589</v>
      </c>
      <c r="E77" s="109" t="n">
        <f aca="false">OPTIMISATION!E42</f>
        <v>-9.37558904109589</v>
      </c>
      <c r="F77" s="109" t="n">
        <f aca="false">OPTIMISATION!F42</f>
        <v>-9.37558904109589</v>
      </c>
      <c r="G77" s="109" t="n">
        <f aca="false">OPTIMISATION!G42</f>
        <v>-9.37558904109589</v>
      </c>
    </row>
    <row r="78" customFormat="false" ht="15" hidden="false" customHeight="false" outlineLevel="0" collapsed="false">
      <c r="A78" s="77" t="n">
        <f aca="false">OPTIMISATION!A43</f>
        <v>3500</v>
      </c>
      <c r="B78" s="109" t="n">
        <f aca="false">OPTIMISATION!B43</f>
        <v>-6.88243835616438</v>
      </c>
      <c r="C78" s="109" t="n">
        <f aca="false">OPTIMISATION!C43</f>
        <v>-6.88243835616438</v>
      </c>
      <c r="D78" s="109" t="n">
        <f aca="false">OPTIMISATION!D43</f>
        <v>-6.88243835616438</v>
      </c>
      <c r="E78" s="109" t="n">
        <f aca="false">OPTIMISATION!E43</f>
        <v>-6.88243835616438</v>
      </c>
      <c r="F78" s="109" t="n">
        <f aca="false">OPTIMISATION!F43</f>
        <v>-6.88243835616438</v>
      </c>
      <c r="G78" s="109" t="n">
        <f aca="false">OPTIMISATION!G43</f>
        <v>-6.88243835616438</v>
      </c>
    </row>
    <row r="79" customFormat="false" ht="15" hidden="false" customHeight="false" outlineLevel="0" collapsed="false">
      <c r="A79" s="77" t="n">
        <f aca="false">OPTIMISATION!A44</f>
        <v>4000</v>
      </c>
      <c r="B79" s="109" t="n">
        <f aca="false">OPTIMISATION!B44</f>
        <v>-4.38928767123288</v>
      </c>
      <c r="C79" s="109" t="n">
        <f aca="false">OPTIMISATION!C44</f>
        <v>-4.38928767123288</v>
      </c>
      <c r="D79" s="109" t="n">
        <f aca="false">OPTIMISATION!D44</f>
        <v>-4.38928767123288</v>
      </c>
      <c r="E79" s="109" t="n">
        <f aca="false">OPTIMISATION!E44</f>
        <v>-4.38928767123288</v>
      </c>
      <c r="F79" s="109" t="n">
        <f aca="false">OPTIMISATION!F44</f>
        <v>-4.38928767123288</v>
      </c>
      <c r="G79" s="109" t="n">
        <f aca="false">OPTIMISATION!G44</f>
        <v>-4.38928767123288</v>
      </c>
    </row>
    <row r="80" customFormat="false" ht="15" hidden="false" customHeight="false" outlineLevel="0" collapsed="false">
      <c r="A80" s="77" t="n">
        <f aca="false">OPTIMISATION!A45</f>
        <v>4500</v>
      </c>
      <c r="B80" s="109" t="n">
        <f aca="false">OPTIMISATION!B45</f>
        <v>-1.89613698630137</v>
      </c>
      <c r="C80" s="109" t="n">
        <f aca="false">OPTIMISATION!C45</f>
        <v>-1.82807938180541</v>
      </c>
      <c r="D80" s="109" t="n">
        <f aca="false">OPTIMISATION!D45</f>
        <v>-1.76002177730945</v>
      </c>
      <c r="E80" s="109" t="n">
        <f aca="false">OPTIMISATION!E45</f>
        <v>-1.69196417281349</v>
      </c>
      <c r="F80" s="109" t="n">
        <f aca="false">OPTIMISATION!F45</f>
        <v>-1.62390656831753</v>
      </c>
      <c r="G80" s="109" t="n">
        <f aca="false">OPTIMISATION!G45</f>
        <v>-1.55584896382157</v>
      </c>
    </row>
    <row r="81" customFormat="false" ht="15" hidden="false" customHeight="false" outlineLevel="0" collapsed="false">
      <c r="A81" s="5" t="s">
        <v>1086</v>
      </c>
    </row>
    <row r="83" customFormat="false" ht="15" hidden="false" customHeight="false" outlineLevel="0" collapsed="false">
      <c r="A83" s="7" t="s">
        <v>1087</v>
      </c>
      <c r="B83" s="8"/>
      <c r="C83" s="8"/>
      <c r="D83" s="8"/>
      <c r="E83" s="8"/>
      <c r="F83" s="8"/>
      <c r="G83" s="8"/>
      <c r="H83" s="8"/>
      <c r="I83" s="8"/>
    </row>
    <row r="84" customFormat="false" ht="30" hidden="false" customHeight="true" outlineLevel="0" collapsed="false">
      <c r="A84" s="45" t="str">
        <f aca="false">"Base case: minimum projected cash before funding is €"&amp;TEXT(MIN(SCENARIOS!$C$18:$O$18)/1000,"0.00")&amp;"bn (week "&amp;MATCH(MIN(SCENARIOS!$C$18:$O$18),SCENARIOS!$C$18:$O$18,0)&amp;"), against a modelled buffer of €"&amp;TEXT(LIQUIDITY_BUFFER!$C$10/1000,"0.00")&amp;"bn."</f>
        <v>Base case: minimum projected cash before funding is €4.20bn (week 1), against a modelled buffer of €3.01bn.</v>
      </c>
      <c r="B84" s="45"/>
      <c r="C84" s="45"/>
      <c r="D84" s="45"/>
      <c r="E84" s="45"/>
      <c r="F84" s="45"/>
      <c r="G84" s="45"/>
      <c r="H84" s="45"/>
      <c r="I84" s="45"/>
    </row>
    <row r="85" customFormat="false" ht="30" hidden="false" customHeight="true" outlineLevel="0" collapsed="false">
      <c r="A85" s="45" t="str">
        <f aca="false">"Selected scenario ("&amp;13W_FORECAST!$C$4&amp;"): lowest projected liquidity in "&amp;B8&amp;", at €"&amp;TEXT(B7/1000,"0.00")&amp;"bn before funding."</f>
        <v>Selected scenario (Base): lowest projected liquidity in W1 (w/c 1 Jan 2026), at €4.20bn before funding.</v>
      </c>
      <c r="B85" s="45"/>
      <c r="C85" s="45"/>
      <c r="D85" s="45"/>
      <c r="E85" s="45"/>
      <c r="F85" s="45"/>
      <c r="G85" s="45"/>
      <c r="H85" s="45"/>
      <c r="I85" s="45"/>
    </row>
    <row r="86" customFormat="false" ht="30" hidden="false" customHeight="true" outlineLevel="0" collapsed="false">
      <c r="A86" s="45" t="str">
        <f aca="false">"Maximum funding requirement: €"&amp;TEXT(B10,"#,##0")&amp;"m; peak utilisation of committed facilities "&amp;TEXT(B15,"0.0%")&amp;"; 13-week funding cost €"&amp;TEXT(B11,"#,##0.0")&amp;"m."</f>
        <v>Maximum funding requirement: €0m; peak utilisation of committed facilities 0.0%; 13-week funding cost €0.0m.</v>
      </c>
      <c r="B86" s="45"/>
      <c r="C86" s="45"/>
      <c r="D86" s="45"/>
      <c r="E86" s="45"/>
      <c r="F86" s="45"/>
      <c r="G86" s="45"/>
      <c r="H86" s="45"/>
      <c r="I86" s="45"/>
    </row>
    <row r="87" customFormat="false" ht="30" hidden="false" customHeight="true" outlineLevel="0" collapsed="false">
      <c r="A87" s="45" t="str">
        <f aca="false">"Main driver vs Base — Downside: "&amp;SCENARIOS!C37&amp;" (€"&amp;TEXT(-MIN(SCENARIOS!C30:C35),"#,##0")&amp;"m over 13 weeks); Severe: "&amp;SCENARIOS!D37&amp;" (€"&amp;TEXT(-MIN(SCENARIOS!D30:D35),"#,##0")&amp;"m)."</f>
        <v>Main driver vs Base — Downside: Collection delay (€969m over 13 weeks); Severe: Collection delay (€1,972m).</v>
      </c>
      <c r="B87" s="45"/>
      <c r="C87" s="45"/>
      <c r="D87" s="45"/>
      <c r="E87" s="45"/>
      <c r="F87" s="45"/>
      <c r="G87" s="45"/>
      <c r="H87" s="45"/>
      <c r="I87" s="45"/>
    </row>
    <row r="88" customFormat="false" ht="30" hidden="false" customHeight="true" outlineLevel="0" collapsed="false">
      <c r="A88" s="45" t="str">
        <f aca="false">"Collection delay: moving from "&amp;OPTIMISATION!A59&amp;" to "&amp;OPTIMISATION!A60&amp;" days changes peak funding at the methodology buffer from €"&amp;TEXT(OPTIMISATION!B59,"#,##0")&amp;"m to €"&amp;TEXT(OPTIMISATION!B60,"#,##0")&amp;"m ("&amp;13W_FORECAST!$C$4&amp;")."</f>
        <v>Collection delay: moving from 7 to 14 days changes peak funding at the methodology buffer from €0m to €482m (Base).</v>
      </c>
      <c r="B88" s="45"/>
      <c r="C88" s="45"/>
      <c r="D88" s="45"/>
      <c r="E88" s="45"/>
      <c r="F88" s="45"/>
      <c r="G88" s="45"/>
      <c r="H88" s="45"/>
      <c r="I88" s="45"/>
    </row>
    <row r="89" customFormat="false" ht="30" hidden="false" customHeight="true" outlineLevel="0" collapsed="false">
      <c r="A89" s="45" t="str">
        <f aca="false">"Funding rates: +100bp adds €"&amp;TEXT(0.01*OPTIMISATION!$B$8*SUM(13W_FORECAST!$C$59:$O$59),"#,##0.0")&amp;"m to 13-week funding cost in the "&amp;13W_FORECAST!$C$4&amp;" scenario."</f>
        <v>Funding rates: +100bp adds €0.0m to 13-week funding cost in the Base scenario.</v>
      </c>
      <c r="B89" s="45"/>
      <c r="C89" s="45"/>
      <c r="D89" s="45"/>
      <c r="E89" s="45"/>
      <c r="F89" s="45"/>
      <c r="G89" s="45"/>
      <c r="H89" s="45"/>
      <c r="I89" s="45"/>
    </row>
    <row r="90" customFormat="false" ht="30" hidden="false" customHeight="true" outlineLevel="0" collapsed="false">
      <c r="A90" s="45" t="str">
        <f aca="false">"Buffer size: holding €"&amp;TEXT(ASSUMPTIONS!$E$69,"#,##0")&amp;"m more buffer changes 13-week net treasury cost by €"&amp;TEXT((OPTIMISATION!$B$4*OPTIMISATION!$B$8*SUMPRODUCT((((LIQUIDITY_BUFFER!$C$10+ASSUMPTIONS!$E$69)-13W_FORECAST!$C$60:$O$60)+ABS((LIQUIDITY_BUFFER!$C$10+ASSUMPTIONS!$E$69)-13W_FORECAST!$C$60:$O$60))/2)-OPTIMISATION!$B$5*OPTIMISATION!$B$6*OPTIMISATION!$B$8*SUMPRODUCT(((13W_FORECAST!$C$60:$O$60-(LIQUIDITY_BUFFER!$C$10+ASSUMPTIONS!$E$69)-OPTIMISATION!$B$7)+ABS(13W_FORECAST!$C$60:$O$60-(LIQUIDITY_BUFFER!$C$10+ASSUMPTIONS!$E$69)-OPTIMISATION!$B$7))/2))-(OPTIMISATION!$B$4*OPTIMISATION!$B$8*SUMPRODUCT(((LIQUIDITY_BUFFER!$C$10-13W_FORECAST!$C$60:$O$60)+ABS(LIQUIDITY_BUFFER!$C$10-13W_FORECAST!$C$60:$O$60))/2)-OPTIMISATION!$B$5*OPTIMISATION!$B$6*OPTIMISATION!$B$8*SUMPRODUCT(((13W_FORECAST!$C$60:$O$60-LIQUIDITY_BUFFER!$C$10-OPTIMISATION!$B$7)+ABS(13W_FORECAST!$C$60:$O$60-LIQUIDITY_BUFFER!$C$10-OPTIMISATION!$B$7))/2)),"#,##0.0")&amp;"m; the model-selected buffer under the stated objective is "&amp;IF(ISNUMBER(B17),"€"&amp;TEXT(B17,"#,##0")&amp;"m","not reached on the grid")&amp;"."</f>
        <v>Buffer size: holding €500m more buffer changes 13-week net treasury cost by €2.5m; the model-selected buffer under the stated objective is €3,500m.</v>
      </c>
      <c r="B90" s="45"/>
      <c r="C90" s="45"/>
      <c r="D90" s="45"/>
      <c r="E90" s="45"/>
      <c r="F90" s="45"/>
      <c r="G90" s="45"/>
      <c r="H90" s="45"/>
      <c r="I90" s="45"/>
    </row>
  </sheetData>
  <mergeCells count="7">
    <mergeCell ref="A84:I84"/>
    <mergeCell ref="A85:I85"/>
    <mergeCell ref="A86:I86"/>
    <mergeCell ref="A87:I87"/>
    <mergeCell ref="A88:I88"/>
    <mergeCell ref="A89:I89"/>
    <mergeCell ref="A90:I90"/>
  </mergeCells>
  <conditionalFormatting sqref="B9">
    <cfRule type="cellIs" priority="2" operator="greaterThan" aboveAverage="0" equalAverage="0" bottom="0" percent="0" rank="0" text="" dxfId="3">
      <formula>0</formula>
    </cfRule>
  </conditionalFormatting>
  <conditionalFormatting sqref="B15">
    <cfRule type="cellIs" priority="3" operator="greaterThan" aboveAverage="0" equalAverage="0" bottom="0" percent="0" rank="0" text="" dxfId="0">
      <formula>ASSUMPTIONS!$E$35</formula>
    </cfRule>
  </conditionalFormatting>
  <conditionalFormatting sqref="B24:D24">
    <cfRule type="cellIs" priority="4" operator="lessThan" aboveAverage="0" equalAverage="0" bottom="0" percent="0" rank="0" text="" dxfId="3">
      <formula>0</formula>
    </cfRule>
  </conditionalFormatting>
  <conditionalFormatting sqref="B25:D25">
    <cfRule type="cellIs" priority="5" operator="greaterThan" aboveAverage="0" equalAverage="0" bottom="0" percent="0" rank="0" text="" dxfId="3">
      <formula>0</formula>
    </cfRule>
  </conditionalFormatting>
  <conditionalFormatting sqref="B73:G80">
    <cfRule type="colorScale" priority="6">
      <colorScale>
        <cfvo type="min" val="0"/>
        <cfvo type="percentile" val="50"/>
        <cfvo type="max" val="0"/>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16"/>
    <col collapsed="false" customWidth="true" hidden="false" outlineLevel="0" max="4" min="4" style="0" width="12"/>
    <col collapsed="false" customWidth="true" hidden="false" outlineLevel="0" max="5" min="5" style="0" width="80"/>
  </cols>
  <sheetData>
    <row r="1" customFormat="false" ht="16.15" hidden="false" customHeight="false" outlineLevel="0" collapsed="false">
      <c r="A1" s="1" t="s">
        <v>1088</v>
      </c>
    </row>
    <row r="2" customFormat="false" ht="15" hidden="false" customHeight="false" outlineLevel="0" collapsed="false">
      <c r="A2" s="5" t="s">
        <v>1089</v>
      </c>
    </row>
    <row r="4" customFormat="false" ht="15" hidden="false" customHeight="false" outlineLevel="0" collapsed="false">
      <c r="B4" s="22" t="s">
        <v>1090</v>
      </c>
      <c r="C4" s="34" t="str">
        <f aca="false">IF(COUNTIF(D7:D25,"ERROR")=0,"ALL CHECKS PASS ("&amp;COUNTIF(D7:D18,"PASS")&amp;" of 12 core)",COUNTIF(D7:D25,"ERROR")&amp;" ERROR(S) — see below")</f>
        <v>ALL CHECKS PASS (12 of 12 core)</v>
      </c>
    </row>
    <row r="6" customFormat="false" ht="15" hidden="false" customHeight="false" outlineLevel="0" collapsed="false">
      <c r="A6" s="15" t="s">
        <v>1091</v>
      </c>
      <c r="B6" s="16" t="s">
        <v>440</v>
      </c>
      <c r="C6" s="16" t="s">
        <v>1092</v>
      </c>
      <c r="D6" s="16" t="s">
        <v>43</v>
      </c>
      <c r="E6" s="16" t="s">
        <v>1093</v>
      </c>
    </row>
    <row r="7" customFormat="false" ht="27.75" hidden="false" customHeight="true" outlineLevel="0" collapsed="false">
      <c r="A7" s="9" t="s">
        <v>1094</v>
      </c>
      <c r="B7" s="110" t="s">
        <v>1095</v>
      </c>
      <c r="C7" s="111" t="n">
        <f aca="false">SUMPRODUCT(ABS(13W_FORECAST!$C$25:$O$25+13W_FORECAST!$C$56:$O$56-13W_FORECAST!$C$57:$O$57))+SUMPRODUCT(ABS(13W_FORECAST!$D$25:$O$25-13W_FORECAST!$C$57:$N$57))+ABS(13W_FORECAST!$C$25-13W_FORECAST!$C$16)</f>
        <v>0</v>
      </c>
      <c r="D7" s="38" t="str">
        <f aca="false">IF(ISNUMBER(C7),IF(C7&lt;=ASSUMPTIONS!$E$70,"PASS","ERROR"),"N/A")</f>
        <v>PASS</v>
      </c>
      <c r="E7" s="11" t="s">
        <v>1096</v>
      </c>
    </row>
    <row r="8" customFormat="false" ht="27.75" hidden="false" customHeight="true" outlineLevel="0" collapsed="false">
      <c r="A8" s="9" t="s">
        <v>1097</v>
      </c>
      <c r="B8" s="110" t="s">
        <v>1098</v>
      </c>
      <c r="C8" s="111" t="n">
        <f aca="false">COUNTIF(ASSUMPTIONS!$B$4:$D$4,13W_FORECAST!$C$4)</f>
        <v>1</v>
      </c>
      <c r="D8" s="38" t="str">
        <f aca="false">IF(C8=1,"PASS","ERROR")</f>
        <v>PASS</v>
      </c>
      <c r="E8" s="11" t="s">
        <v>1099</v>
      </c>
    </row>
    <row r="9" customFormat="false" ht="27.75" hidden="false" customHeight="true" outlineLevel="0" collapsed="false">
      <c r="A9" s="9" t="s">
        <v>1100</v>
      </c>
      <c r="B9" s="110" t="s">
        <v>1101</v>
      </c>
      <c r="C9" s="111" t="n">
        <f aca="false">SUMPRODUCT(ABS(13W_FORECAST!$C$27:$O$27+13W_FORECAST!$C$28:$O$28+13W_FORECAST!$C$29:$O$29+13W_FORECAST!$C$30:$O$30-13W_FORECAST!$C$31:$O$31))</f>
        <v>0</v>
      </c>
      <c r="D9" s="38" t="str">
        <f aca="false">IF(ISNUMBER(C9),IF(C9&lt;=ASSUMPTIONS!$E$70,"PASS","ERROR"),"N/A")</f>
        <v>PASS</v>
      </c>
      <c r="E9" s="11"/>
    </row>
    <row r="10" customFormat="false" ht="27.75" hidden="false" customHeight="true" outlineLevel="0" collapsed="false">
      <c r="A10" s="9" t="s">
        <v>1102</v>
      </c>
      <c r="B10" s="110" t="s">
        <v>1103</v>
      </c>
      <c r="C10" s="111" t="n">
        <f aca="false">SUMPRODUCT(ABS(13W_FORECAST!$C$33:$O$33+13W_FORECAST!$C$34:$O$34+13W_FORECAST!$C$35:$O$35+13W_FORECAST!$C$36:$O$36+13W_FORECAST!$C$37:$O$37+13W_FORECAST!$C$38:$O$38+13W_FORECAST!$C$39:$O$39+13W_FORECAST!$C$40:$O$40-13W_FORECAST!$C$41:$O$41))</f>
        <v>0</v>
      </c>
      <c r="D10" s="38" t="str">
        <f aca="false">IF(ISNUMBER(C10),IF(C10&lt;=ASSUMPTIONS!$E$70,"PASS","ERROR"),"N/A")</f>
        <v>PASS</v>
      </c>
      <c r="E10" s="11"/>
    </row>
    <row r="11" customFormat="false" ht="27.75" hidden="false" customHeight="true" outlineLevel="0" collapsed="false">
      <c r="A11" s="9" t="s">
        <v>1104</v>
      </c>
      <c r="B11" s="110" t="s">
        <v>1105</v>
      </c>
      <c r="C11" s="111" t="n">
        <f aca="false">SUMPRODUCT(ABS(13W_FORECAST!$C$31:$O$31+13W_FORECAST!$C$41:$O$41+13W_FORECAST!$C$42:$O$42+13W_FORECAST!$C$55:$O$55-13W_FORECAST!$C$56:$O$56))</f>
        <v>0</v>
      </c>
      <c r="D11" s="38" t="str">
        <f aca="false">IF(ISNUMBER(C11),IF(C11&lt;=ASSUMPTIONS!$E$70,"PASS","ERROR"),"N/A")</f>
        <v>PASS</v>
      </c>
      <c r="E11" s="11"/>
    </row>
    <row r="12" customFormat="false" ht="27.75" hidden="false" customHeight="true" outlineLevel="0" collapsed="false">
      <c r="A12" s="9" t="s">
        <v>1106</v>
      </c>
      <c r="B12" s="110" t="s">
        <v>1107</v>
      </c>
      <c r="C12" s="111" t="n">
        <f aca="false">COUNTIF(FUNDING!$C$14:$O$14,"&lt;0")+COUNTIF(13W_FORECAST!$C$59:$O$59,"&lt;"&amp;-ASSUMPTIONS!$E$70)+COUNTIF(13W_FORECAST!$C$53:$O$53,"&lt;0")</f>
        <v>0</v>
      </c>
      <c r="D12" s="38" t="str">
        <f aca="false">IF(C12=0,"PASS","ERROR")</f>
        <v>PASS</v>
      </c>
      <c r="E12" s="11"/>
    </row>
    <row r="13" customFormat="false" ht="27.75" hidden="false" customHeight="true" outlineLevel="0" collapsed="false">
      <c r="A13" s="9" t="s">
        <v>1108</v>
      </c>
      <c r="B13" s="110" t="s">
        <v>1109</v>
      </c>
      <c r="C13" s="111" t="n">
        <f aca="false">COUNTIF(FUNDING!$C$17:$O$17,"BREACH")</f>
        <v>0</v>
      </c>
      <c r="D13" s="38" t="str">
        <f aca="false">IF(C13=0,"PASS","ERROR")</f>
        <v>PASS</v>
      </c>
      <c r="E13" s="11" t="s">
        <v>1110</v>
      </c>
    </row>
    <row r="14" customFormat="false" ht="27.75" hidden="false" customHeight="true" outlineLevel="0" collapsed="false">
      <c r="A14" s="9" t="s">
        <v>1111</v>
      </c>
      <c r="B14" s="110" t="s">
        <v>1112</v>
      </c>
      <c r="C14" s="111" t="n">
        <f aca="false">SUMPRODUCT((13W_FORECAST!$C$57:$O$57-13W_FORECAST!$C$52:$O$52&lt;-ASSUMPTIONS!$E$70)*1)</f>
        <v>0</v>
      </c>
      <c r="D14" s="38" t="str">
        <f aca="false">IF(C14=0,"PASS","ERROR")</f>
        <v>PASS</v>
      </c>
      <c r="E14" s="11"/>
    </row>
    <row r="15" customFormat="false" ht="27.75" hidden="false" customHeight="true" outlineLevel="0" collapsed="false">
      <c r="A15" s="9" t="s">
        <v>1113</v>
      </c>
      <c r="B15" s="110" t="s">
        <v>1114</v>
      </c>
      <c r="C15" s="111" t="n">
        <f aca="false">COUNTIF(SURPLUS_CASH!$C$11:$O$11,"&lt;0")</f>
        <v>0</v>
      </c>
      <c r="D15" s="38" t="str">
        <f aca="false">IF(C15=0,"PASS","ERROR")</f>
        <v>PASS</v>
      </c>
      <c r="E15" s="11"/>
    </row>
    <row r="16" customFormat="false" ht="27.75" hidden="false" customHeight="true" outlineLevel="0" collapsed="false">
      <c r="A16" s="9" t="s">
        <v>1115</v>
      </c>
      <c r="B16" s="110" t="s">
        <v>1116</v>
      </c>
      <c r="C16" s="111" t="n">
        <f aca="false">ABS(SURPLUS_CASH!$B$15-ASSUMPTIONS!$E$44*ASSUMPTIONS!$E$45*ASSUMPTIONS!$E$7/ASSUMPTIONS!$E$8*SUM(SURPLUS_CASH!$C$11:$O$11))+ABS(SURPLUS_CASH!$B$15-OPTIMISATION!$F$24)</f>
        <v>0</v>
      </c>
      <c r="D16" s="38" t="str">
        <f aca="false">IF(ISNUMBER(C16),IF(C16&lt;=ASSUMPTIONS!$E$70,"PASS","ERROR"),"N/A")</f>
        <v>PASS</v>
      </c>
      <c r="E16" s="11"/>
    </row>
    <row r="17" customFormat="false" ht="27.75" hidden="false" customHeight="true" outlineLevel="0" collapsed="false">
      <c r="A17" s="9" t="s">
        <v>1117</v>
      </c>
      <c r="B17" s="110" t="s">
        <v>1118</v>
      </c>
      <c r="C17" s="111" t="n">
        <f aca="false">ABS(FUNDING!$B$20-LIQUIDITY_DRIVERS!$H$68*ASSUMPTIONS!$E$7/ASSUMPTIONS!$E$8*SUM(13W_FORECAST!$C$59:$O$59))+ABS(FUNDING!$B$20-OPTIMISATION!$D$24)+SUMPRODUCT(ABS(13W_FORECAST!$C$59:$O$59-((13W_FORECAST!$C$52:$O$52-13W_FORECAST!$C$60:$O$60)+ABS(13W_FORECAST!$C$52:$O$52-13W_FORECAST!$C$60:$O$60))/2))</f>
        <v>0</v>
      </c>
      <c r="D17" s="38" t="str">
        <f aca="false">IF(ISNUMBER(C17),IF(C17&lt;=ASSUMPTIONS!$E$70,"PASS","ERROR"),"N/A")</f>
        <v>PASS</v>
      </c>
      <c r="E17" s="11" t="s">
        <v>1119</v>
      </c>
    </row>
    <row r="18" customFormat="false" ht="27.75" hidden="false" customHeight="true" outlineLevel="0" collapsed="false">
      <c r="A18" s="9" t="s">
        <v>1120</v>
      </c>
      <c r="B18" s="110" t="s">
        <v>1121</v>
      </c>
      <c r="C18" s="111" t="n">
        <f aca="false">C28+C30</f>
        <v>0</v>
      </c>
      <c r="D18" s="38" t="str">
        <f aca="false">IF(AND(C28=0,C29&gt;0,C30&lt;=ASSUMPTIONS!$E$70),"PASS","ERROR")</f>
        <v>PASS</v>
      </c>
      <c r="E18" s="11" t="s">
        <v>1122</v>
      </c>
    </row>
    <row r="21" customFormat="false" ht="15" hidden="false" customHeight="false" outlineLevel="0" collapsed="false">
      <c r="B21" s="41" t="s">
        <v>1123</v>
      </c>
    </row>
    <row r="22" customFormat="false" ht="15" hidden="false" customHeight="false" outlineLevel="0" collapsed="false">
      <c r="A22" s="32" t="s">
        <v>1124</v>
      </c>
      <c r="B22" s="32" t="s">
        <v>1125</v>
      </c>
      <c r="C22" s="112" t="n">
        <f aca="false">ABS(FX_LIQUIDITY!$G$9-FX_LIQUIDITY!$G$10)</f>
        <v>0</v>
      </c>
      <c r="D22" s="113" t="str">
        <f aca="false">IF(C22&lt;=ASSUMPTIONS!$E$70,"PASS","ERROR")</f>
        <v>PASS</v>
      </c>
    </row>
    <row r="23" customFormat="false" ht="15" hidden="false" customHeight="false" outlineLevel="0" collapsed="false">
      <c r="A23" s="32" t="s">
        <v>1126</v>
      </c>
      <c r="B23" s="32" t="s">
        <v>1127</v>
      </c>
      <c r="C23" s="112" t="n">
        <f aca="false">IF(FX_LIQUIDITY!$B$11="Yes",0,1)</f>
        <v>0</v>
      </c>
      <c r="D23" s="113" t="str">
        <f aca="false">IF(C23=0,"PASS","ERROR")</f>
        <v>PASS</v>
      </c>
    </row>
    <row r="24" customFormat="false" ht="15" hidden="false" customHeight="false" outlineLevel="0" collapsed="false">
      <c r="A24" s="32" t="s">
        <v>1128</v>
      </c>
      <c r="B24" s="32" t="s">
        <v>1129</v>
      </c>
      <c r="C24" s="112" t="n">
        <f aca="false">ABS(13W_FORECAST!$C$20+13W_FORECAST!$C$19-13W_FORECAST!$C$16-13W_FORECAST!$C$18)</f>
        <v>0</v>
      </c>
      <c r="D24" s="113" t="str">
        <f aca="false">IF(C24&lt;=ASSUMPTIONS!$E$70,"PASS","ERROR")</f>
        <v>PASS</v>
      </c>
    </row>
    <row r="25" customFormat="false" ht="15" hidden="false" customHeight="false" outlineLevel="0" collapsed="false">
      <c r="A25" s="32" t="s">
        <v>1130</v>
      </c>
      <c r="B25" s="32" t="s">
        <v>1131</v>
      </c>
      <c r="C25" s="112" t="n">
        <f aca="false">ABS(INDEX(TREASURY_OUTPUT!$B$21:$D$21,MATCH(13W_FORECAST!$C$4,{"Base","Downside","Severe"},0))-TREASURY_OUTPUT!$B$7)+ABS(INDEX(TREASURY_OUTPUT!$B$25:$D$25,MATCH(13W_FORECAST!$C$4,{"Base","Downside","Severe"},0))-TREASURY_OUTPUT!$B$10)+ABS(INDEX(TREASURY_OUTPUT!$B$27:$D$27,MATCH(13W_FORECAST!$C$4,{"Base","Downside","Severe"},0))-TREASURY_OUTPUT!$B$11)+ABS(INDEX(TREASURY_OUTPUT!$B$28:$D$28,MATCH(13W_FORECAST!$C$4,{"Base","Downside","Severe"},0))-TREASURY_OUTPUT!$B$13)</f>
        <v>0</v>
      </c>
      <c r="D25" s="113" t="str">
        <f aca="false">IF(C25&lt;=ASSUMPTIONS!$E$70,"PASS","ERROR")</f>
        <v>PASS</v>
      </c>
    </row>
    <row r="27" customFormat="false" ht="15" hidden="false" customHeight="false" outlineLevel="0" collapsed="false">
      <c r="B27" s="41" t="s">
        <v>1132</v>
      </c>
    </row>
    <row r="28" customFormat="false" ht="15" hidden="false" customHeight="false" outlineLevel="0" collapsed="false">
      <c r="A28" s="32" t="s">
        <v>1133</v>
      </c>
      <c r="B28" s="32" t="s">
        <v>1134</v>
      </c>
      <c r="C28" s="112" t="n">
        <f aca="false">SUMPRODUCT((ASSUMPTIONS!$E$5:$E$70&lt;&gt;INDEX(ASSUMPTIONS!$B$5:$D$70,0,MATCH(13W_FORECAST!$C$4,ASSUMPTIONS!$B$4:$D$4,0)))*1)</f>
        <v>0</v>
      </c>
    </row>
    <row r="29" customFormat="false" ht="15" hidden="false" customHeight="false" outlineLevel="0" collapsed="false">
      <c r="A29" s="32" t="s">
        <v>1135</v>
      </c>
      <c r="B29" s="32" t="s">
        <v>1136</v>
      </c>
      <c r="C29" s="112" t="n">
        <f aca="false">SUMPRODUCT(ABS(SCENARIOS!$C$18:$O$18-SCENARIOS!$C$22:$O$22))</f>
        <v>37090.3800454795</v>
      </c>
    </row>
    <row r="30" customFormat="false" ht="15" hidden="false" customHeight="false" outlineLevel="0" collapsed="false">
      <c r="A30" s="32" t="s">
        <v>1137</v>
      </c>
      <c r="B30" s="32" t="s">
        <v>1138</v>
      </c>
      <c r="C30" s="112" t="n">
        <f aca="false">SUMPRODUCT(ABS(SCENARIOS!$C$23:$O$23-13W_FORECAST!$C$60:$O$60))</f>
        <v>0</v>
      </c>
    </row>
    <row r="32" customFormat="false" ht="15" hidden="false" customHeight="true" outlineLevel="0" collapsed="false">
      <c r="B32" s="30" t="s">
        <v>1139</v>
      </c>
      <c r="C32" s="30"/>
      <c r="D32" s="30"/>
      <c r="E32" s="30"/>
    </row>
    <row r="33" customFormat="false" ht="15" hidden="false" customHeight="false" outlineLevel="0" collapsed="false">
      <c r="B33" s="30"/>
      <c r="C33" s="30"/>
      <c r="D33" s="30"/>
      <c r="E33" s="30"/>
    </row>
  </sheetData>
  <mergeCells count="1">
    <mergeCell ref="B32:E33"/>
  </mergeCells>
  <conditionalFormatting sqref="D7:D25">
    <cfRule type="expression" priority="2" aboveAverage="0" equalAverage="0" bottom="0" percent="0" rank="0" text="" dxfId="1">
      <formula>D7="PASS"</formula>
    </cfRule>
    <cfRule type="expression" priority="3" aboveAverage="0" equalAverage="0" bottom="0" percent="0" rank="0" text="" dxfId="0">
      <formula>D7="ERROR"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2026-09-26T08:08:32Z</dcterms:created>
  <dc:creator>openpyxl</dc:creator>
  <dc:description/>
  <dc:language>en-US</dc:language>
  <cp:lastModifiedBy/>
  <dcterms:modified xsi:type="dcterms:W3CDTF">2026-09-26T09:08:36Z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